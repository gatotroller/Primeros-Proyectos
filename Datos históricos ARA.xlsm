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duar\Escritorio\Yo\Trabajos Uni\"/>
    </mc:Choice>
  </mc:AlternateContent>
  <xr:revisionPtr revIDLastSave="0" documentId="8_{ACB35D1B-1E7B-4A7A-AEE4-3CB8365323C6}" xr6:coauthVersionLast="47" xr6:coauthVersionMax="47" xr10:uidLastSave="{00000000-0000-0000-0000-000000000000}"/>
  <bookViews>
    <workbookView xWindow="-120" yWindow="-120" windowWidth="29040" windowHeight="15720"/>
  </bookViews>
  <sheets>
    <sheet name="Datos históricos ARA_50&gt;" sheetId="1" r:id="rId1"/>
    <sheet name="Hoja1" sheetId="2" r:id="rId2"/>
  </sheets>
  <calcPr calcId="0"/>
</workbook>
</file>

<file path=xl/calcChain.xml><?xml version="1.0" encoding="utf-8"?>
<calcChain xmlns="http://schemas.openxmlformats.org/spreadsheetml/2006/main">
  <c r="M2" i="1" l="1"/>
  <c r="L2" i="1"/>
  <c r="J5" i="1"/>
  <c r="J3" i="1"/>
  <c r="J1" i="1"/>
  <c r="J2" i="1"/>
</calcChain>
</file>

<file path=xl/sharedStrings.xml><?xml version="1.0" encoding="utf-8"?>
<sst xmlns="http://schemas.openxmlformats.org/spreadsheetml/2006/main" count="308" uniqueCount="305">
  <si>
    <t>Cierre</t>
  </si>
  <si>
    <t>Apertura</t>
  </si>
  <si>
    <t>Máximo</t>
  </si>
  <si>
    <t>Mínimo</t>
  </si>
  <si>
    <t>Vol.</t>
  </si>
  <si>
    <t>% var.</t>
  </si>
  <si>
    <t>93.01K</t>
  </si>
  <si>
    <t>8.70M</t>
  </si>
  <si>
    <t>2.86M</t>
  </si>
  <si>
    <t>8.46M</t>
  </si>
  <si>
    <t>7.86M</t>
  </si>
  <si>
    <t>11.55M</t>
  </si>
  <si>
    <t>4.70M</t>
  </si>
  <si>
    <t>7.46M</t>
  </si>
  <si>
    <t>10.57M</t>
  </si>
  <si>
    <t>12.55M</t>
  </si>
  <si>
    <t>6.70M</t>
  </si>
  <si>
    <t>3.43M</t>
  </si>
  <si>
    <t>11.96M</t>
  </si>
  <si>
    <t>10.55M</t>
  </si>
  <si>
    <t>88.28M</t>
  </si>
  <si>
    <t>15.62M</t>
  </si>
  <si>
    <t>22.43M</t>
  </si>
  <si>
    <t>16.50M</t>
  </si>
  <si>
    <t>5.13M</t>
  </si>
  <si>
    <t>12.26M</t>
  </si>
  <si>
    <t>5.04M</t>
  </si>
  <si>
    <t>13.36M</t>
  </si>
  <si>
    <t>7.98M</t>
  </si>
  <si>
    <t>13.78M</t>
  </si>
  <si>
    <t>16.77M</t>
  </si>
  <si>
    <t>16.43M</t>
  </si>
  <si>
    <t>25.25M</t>
  </si>
  <si>
    <t>13.60M</t>
  </si>
  <si>
    <t>20.39M</t>
  </si>
  <si>
    <t>18.97M</t>
  </si>
  <si>
    <t>27.38M</t>
  </si>
  <si>
    <t>28.27M</t>
  </si>
  <si>
    <t>21.11M</t>
  </si>
  <si>
    <t>9.57M</t>
  </si>
  <si>
    <t>7.06M</t>
  </si>
  <si>
    <t>51.15M</t>
  </si>
  <si>
    <t>25.37M</t>
  </si>
  <si>
    <t>33.73M</t>
  </si>
  <si>
    <t>49.38M</t>
  </si>
  <si>
    <t>124.16M</t>
  </si>
  <si>
    <t>44.77M</t>
  </si>
  <si>
    <t>18.62M</t>
  </si>
  <si>
    <t>17.86M</t>
  </si>
  <si>
    <t>19.35M</t>
  </si>
  <si>
    <t>19.79M</t>
  </si>
  <si>
    <t>11.63M</t>
  </si>
  <si>
    <t>21.22M</t>
  </si>
  <si>
    <t>9.19M</t>
  </si>
  <si>
    <t>22.33M</t>
  </si>
  <si>
    <t>12.46M</t>
  </si>
  <si>
    <t>14.86M</t>
  </si>
  <si>
    <t>9.98M</t>
  </si>
  <si>
    <t>10.81M</t>
  </si>
  <si>
    <t>7.92M</t>
  </si>
  <si>
    <t>11.95M</t>
  </si>
  <si>
    <t>18.41M</t>
  </si>
  <si>
    <t>27.28M</t>
  </si>
  <si>
    <t>19.13M</t>
  </si>
  <si>
    <t>16.22M</t>
  </si>
  <si>
    <t>12.44M</t>
  </si>
  <si>
    <t>14.63M</t>
  </si>
  <si>
    <t>20.83M</t>
  </si>
  <si>
    <t>19.80M</t>
  </si>
  <si>
    <t>15.16M</t>
  </si>
  <si>
    <t>13.26M</t>
  </si>
  <si>
    <t>16.41M</t>
  </si>
  <si>
    <t>19.63M</t>
  </si>
  <si>
    <t>8.55M</t>
  </si>
  <si>
    <t>13.00M</t>
  </si>
  <si>
    <t>24.20M</t>
  </si>
  <si>
    <t>19.54M</t>
  </si>
  <si>
    <t>21.79M</t>
  </si>
  <si>
    <t>16.26M</t>
  </si>
  <si>
    <t>20.07M</t>
  </si>
  <si>
    <t>17.63M</t>
  </si>
  <si>
    <t>48.08M</t>
  </si>
  <si>
    <t>28.59M</t>
  </si>
  <si>
    <t>26.82M</t>
  </si>
  <si>
    <t>13.38M</t>
  </si>
  <si>
    <t>30.43M</t>
  </si>
  <si>
    <t>18.52M</t>
  </si>
  <si>
    <t>22.05M</t>
  </si>
  <si>
    <t>22.26M</t>
  </si>
  <si>
    <t>15.30M</t>
  </si>
  <si>
    <t>22.54M</t>
  </si>
  <si>
    <t>18.67M</t>
  </si>
  <si>
    <t>22.45M</t>
  </si>
  <si>
    <t>22.91M</t>
  </si>
  <si>
    <t>23.36M</t>
  </si>
  <si>
    <t>21.45M</t>
  </si>
  <si>
    <t>17.70M</t>
  </si>
  <si>
    <t>24.13M</t>
  </si>
  <si>
    <t>71.64M</t>
  </si>
  <si>
    <t>58.68M</t>
  </si>
  <si>
    <t>24.60M</t>
  </si>
  <si>
    <t>15.60M</t>
  </si>
  <si>
    <t>16.24M</t>
  </si>
  <si>
    <t>22.06M</t>
  </si>
  <si>
    <t>16.19M</t>
  </si>
  <si>
    <t>16.81M</t>
  </si>
  <si>
    <t>30.94M</t>
  </si>
  <si>
    <t>32.76M</t>
  </si>
  <si>
    <t>42.94M</t>
  </si>
  <si>
    <t>16.86M</t>
  </si>
  <si>
    <t>33.51M</t>
  </si>
  <si>
    <t>23.20M</t>
  </si>
  <si>
    <t>25.08M</t>
  </si>
  <si>
    <t>36.08M</t>
  </si>
  <si>
    <t>32.95M</t>
  </si>
  <si>
    <t>17.18M</t>
  </si>
  <si>
    <t>25.78M</t>
  </si>
  <si>
    <t>34.79M</t>
  </si>
  <si>
    <t>34.81M</t>
  </si>
  <si>
    <t>28.46M</t>
  </si>
  <si>
    <t>30.76M</t>
  </si>
  <si>
    <t>37.18M</t>
  </si>
  <si>
    <t>30.53M</t>
  </si>
  <si>
    <t>42.48M</t>
  </si>
  <si>
    <t>38.84M</t>
  </si>
  <si>
    <t>34.94M</t>
  </si>
  <si>
    <t>65.81M</t>
  </si>
  <si>
    <t>45.80M</t>
  </si>
  <si>
    <t>54.11M</t>
  </si>
  <si>
    <t>99.09M</t>
  </si>
  <si>
    <t>67.47M</t>
  </si>
  <si>
    <t>41.59M</t>
  </si>
  <si>
    <t>40.79M</t>
  </si>
  <si>
    <t>38.53M</t>
  </si>
  <si>
    <t>37.56M</t>
  </si>
  <si>
    <t>38.98M</t>
  </si>
  <si>
    <t>105.00M</t>
  </si>
  <si>
    <t>21.92M</t>
  </si>
  <si>
    <t>37.97M</t>
  </si>
  <si>
    <t>28.12M</t>
  </si>
  <si>
    <t>22.27M</t>
  </si>
  <si>
    <t>24.29M</t>
  </si>
  <si>
    <t>70.09M</t>
  </si>
  <si>
    <t>95.48M</t>
  </si>
  <si>
    <t>60.85M</t>
  </si>
  <si>
    <t>70.92M</t>
  </si>
  <si>
    <t>36.52M</t>
  </si>
  <si>
    <t>65.89M</t>
  </si>
  <si>
    <t>50.81M</t>
  </si>
  <si>
    <t>19.32M</t>
  </si>
  <si>
    <t>19.38M</t>
  </si>
  <si>
    <t>23.29M</t>
  </si>
  <si>
    <t>23.28M</t>
  </si>
  <si>
    <t>39.13M</t>
  </si>
  <si>
    <t>27.49M</t>
  </si>
  <si>
    <t>65.49M</t>
  </si>
  <si>
    <t>98.03M</t>
  </si>
  <si>
    <t>63.99M</t>
  </si>
  <si>
    <t>74.27M</t>
  </si>
  <si>
    <t>61.94M</t>
  </si>
  <si>
    <t>52.03M</t>
  </si>
  <si>
    <t>60.77M</t>
  </si>
  <si>
    <t>49.89M</t>
  </si>
  <si>
    <t>73.83M</t>
  </si>
  <si>
    <t>151.58M</t>
  </si>
  <si>
    <t>79.03M</t>
  </si>
  <si>
    <t>44.76M</t>
  </si>
  <si>
    <t>73.53M</t>
  </si>
  <si>
    <t>68.48M</t>
  </si>
  <si>
    <t>54.01M</t>
  </si>
  <si>
    <t>111.17M</t>
  </si>
  <si>
    <t>58.88M</t>
  </si>
  <si>
    <t>87.76M</t>
  </si>
  <si>
    <t>51.72M</t>
  </si>
  <si>
    <t>67.98M</t>
  </si>
  <si>
    <t>85.77M</t>
  </si>
  <si>
    <t>57.48M</t>
  </si>
  <si>
    <t>72.04M</t>
  </si>
  <si>
    <t>47.77M</t>
  </si>
  <si>
    <t>79.39M</t>
  </si>
  <si>
    <t>71.98M</t>
  </si>
  <si>
    <t>56.18M</t>
  </si>
  <si>
    <t>102.31M</t>
  </si>
  <si>
    <t>57.43M</t>
  </si>
  <si>
    <t>56.43M</t>
  </si>
  <si>
    <t>91.56M</t>
  </si>
  <si>
    <t>63.40M</t>
  </si>
  <si>
    <t>129.30M</t>
  </si>
  <si>
    <t>103.64M</t>
  </si>
  <si>
    <t>69.31M</t>
  </si>
  <si>
    <t>100.09M</t>
  </si>
  <si>
    <t>66.54M</t>
  </si>
  <si>
    <t>63.89M</t>
  </si>
  <si>
    <t>157.42M</t>
  </si>
  <si>
    <t>183.88M</t>
  </si>
  <si>
    <t>84.83M</t>
  </si>
  <si>
    <t>74.35M</t>
  </si>
  <si>
    <t>115.38M</t>
  </si>
  <si>
    <t>121.75M</t>
  </si>
  <si>
    <t>71.43M</t>
  </si>
  <si>
    <t>58.79M</t>
  </si>
  <si>
    <t>83.34M</t>
  </si>
  <si>
    <t>107.97M</t>
  </si>
  <si>
    <t>73.05M</t>
  </si>
  <si>
    <t>48.24M</t>
  </si>
  <si>
    <t>62.87M</t>
  </si>
  <si>
    <t>101.97M</t>
  </si>
  <si>
    <t>277.84M</t>
  </si>
  <si>
    <t>62.53M</t>
  </si>
  <si>
    <t>58.62M</t>
  </si>
  <si>
    <t>54.08M</t>
  </si>
  <si>
    <t>87.99M</t>
  </si>
  <si>
    <t>59.40M</t>
  </si>
  <si>
    <t>93.81M</t>
  </si>
  <si>
    <t>27.87M</t>
  </si>
  <si>
    <t>40.11M</t>
  </si>
  <si>
    <t>26.91M</t>
  </si>
  <si>
    <t>31.75M</t>
  </si>
  <si>
    <t>41.29M</t>
  </si>
  <si>
    <t>47.17M</t>
  </si>
  <si>
    <t>73.51M</t>
  </si>
  <si>
    <t>50.74M</t>
  </si>
  <si>
    <t>59.36M</t>
  </si>
  <si>
    <t>46.11M</t>
  </si>
  <si>
    <t>63.72M</t>
  </si>
  <si>
    <t>45.09M</t>
  </si>
  <si>
    <t>96.11M</t>
  </si>
  <si>
    <t>90.66M</t>
  </si>
  <si>
    <t>26.61M</t>
  </si>
  <si>
    <t>114.08M</t>
  </si>
  <si>
    <t>59.48M</t>
  </si>
  <si>
    <t>66.10M</t>
  </si>
  <si>
    <t>41.82M</t>
  </si>
  <si>
    <t>35.64M</t>
  </si>
  <si>
    <t>37.46M</t>
  </si>
  <si>
    <t>36.44M</t>
  </si>
  <si>
    <t>40.09M</t>
  </si>
  <si>
    <t>36.92M</t>
  </si>
  <si>
    <t>50.27M</t>
  </si>
  <si>
    <t>73.62M</t>
  </si>
  <si>
    <t>25.79M</t>
  </si>
  <si>
    <t>70.46M</t>
  </si>
  <si>
    <t>60.09M</t>
  </si>
  <si>
    <t>40.60M</t>
  </si>
  <si>
    <t>29.84M</t>
  </si>
  <si>
    <t>46.80M</t>
  </si>
  <si>
    <t>39.47M</t>
  </si>
  <si>
    <t>45.57M</t>
  </si>
  <si>
    <t>40.26M</t>
  </si>
  <si>
    <t>8.27M</t>
  </si>
  <si>
    <t>18.91M</t>
  </si>
  <si>
    <t>18.96M</t>
  </si>
  <si>
    <t>14.38M</t>
  </si>
  <si>
    <t>31.46M</t>
  </si>
  <si>
    <t>22.16M</t>
  </si>
  <si>
    <t>27.68M</t>
  </si>
  <si>
    <t>40.97M</t>
  </si>
  <si>
    <t>72.29M</t>
  </si>
  <si>
    <t>73.68M</t>
  </si>
  <si>
    <t>84.89M</t>
  </si>
  <si>
    <t>49.47M</t>
  </si>
  <si>
    <t>36.89M</t>
  </si>
  <si>
    <t>29.73M</t>
  </si>
  <si>
    <t>42.16M</t>
  </si>
  <si>
    <t>17.34M</t>
  </si>
  <si>
    <t>20.78M</t>
  </si>
  <si>
    <t>33.84M</t>
  </si>
  <si>
    <t>12.34M</t>
  </si>
  <si>
    <t>22.14M</t>
  </si>
  <si>
    <t>10.67M</t>
  </si>
  <si>
    <t>18.69M</t>
  </si>
  <si>
    <t>30.89M</t>
  </si>
  <si>
    <t>42.85M</t>
  </si>
  <si>
    <t>47.07M</t>
  </si>
  <si>
    <t>29.82M</t>
  </si>
  <si>
    <t>17.84M</t>
  </si>
  <si>
    <t>9.72M</t>
  </si>
  <si>
    <t>48.21M</t>
  </si>
  <si>
    <t>19.73M</t>
  </si>
  <si>
    <t>22.48M</t>
  </si>
  <si>
    <t>11.65M</t>
  </si>
  <si>
    <t>31.35M</t>
  </si>
  <si>
    <t>23.78M</t>
  </si>
  <si>
    <t>31.33M</t>
  </si>
  <si>
    <t>57.56M</t>
  </si>
  <si>
    <t>23.50M</t>
  </si>
  <si>
    <t>43.17M</t>
  </si>
  <si>
    <t>82.13M</t>
  </si>
  <si>
    <t>92.84M</t>
  </si>
  <si>
    <t>38.45M</t>
  </si>
  <si>
    <t>41.99M</t>
  </si>
  <si>
    <t>22.12M</t>
  </si>
  <si>
    <t>48.98M</t>
  </si>
  <si>
    <t>100.69M</t>
  </si>
  <si>
    <t>55.36M</t>
  </si>
  <si>
    <t>82.67M</t>
  </si>
  <si>
    <t>46.04M</t>
  </si>
  <si>
    <t>27.30M</t>
  </si>
  <si>
    <t>Mes</t>
  </si>
  <si>
    <t>Media</t>
  </si>
  <si>
    <t>Desviacion Estandar</t>
  </si>
  <si>
    <t>N</t>
  </si>
  <si>
    <t>Alfa</t>
  </si>
  <si>
    <t>Intervalo de confianza al 95%</t>
  </si>
  <si>
    <t>Intervalo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</si>
</sst>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10" xfId="0" applyBorder="1"/>
    <xf numFmtId="0" fontId="0" fillId="0" borderId="11" xfId="0" applyBorder="1"/>
    <xf numFmtId="10" fontId="0" fillId="0" borderId="12" xfId="0" applyNumberForma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0" fontId="0" fillId="0" borderId="17" xfId="0" applyNumberFormat="1" applyBorder="1"/>
    <xf numFmtId="0" fontId="0" fillId="33" borderId="10" xfId="0" applyFill="1" applyBorder="1" applyAlignment="1"/>
    <xf numFmtId="0" fontId="0" fillId="33" borderId="10" xfId="0" applyFill="1" applyBorder="1"/>
    <xf numFmtId="0" fontId="0" fillId="33" borderId="10" xfId="0" applyFill="1" applyBorder="1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1"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a2" displayName="Tabla2" ref="A1:G296" totalsRowShown="0" headerRowDxfId="0" headerRowBorderDxfId="9" tableBorderDxfId="10" totalsRowBorderDxfId="8">
  <autoFilter ref="A1:G296"/>
  <sortState xmlns:xlrd2="http://schemas.microsoft.com/office/spreadsheetml/2017/richdata2" ref="A2:G296">
    <sortCondition ref="A1:A296"/>
  </sortState>
  <tableColumns count="7">
    <tableColumn id="1" name="Mes" dataDxfId="7"/>
    <tableColumn id="2" name="Cierre" dataDxfId="6"/>
    <tableColumn id="3" name="Apertura" dataDxfId="5"/>
    <tableColumn id="4" name="Máximo" dataDxfId="4"/>
    <tableColumn id="5" name="Mínimo" dataDxfId="3"/>
    <tableColumn id="6" name="Vol." dataDxfId="2"/>
    <tableColumn id="7" name="% var.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96"/>
  <sheetViews>
    <sheetView tabSelected="1" workbookViewId="0">
      <selection activeCell="K10" sqref="K10"/>
    </sheetView>
  </sheetViews>
  <sheetFormatPr baseColWidth="10" defaultRowHeight="15" x14ac:dyDescent="0.25"/>
  <cols>
    <col min="9" max="9" width="18.7109375" bestFit="1" customWidth="1"/>
    <col min="12" max="12" width="13.140625" customWidth="1"/>
    <col min="13" max="13" width="13.42578125" customWidth="1"/>
  </cols>
  <sheetData>
    <row r="1" spans="1:13" x14ac:dyDescent="0.25">
      <c r="A1" s="4" t="s">
        <v>298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6" t="s">
        <v>5</v>
      </c>
      <c r="I1" s="9" t="s">
        <v>299</v>
      </c>
      <c r="J1" s="9">
        <f>AVERAGE(Tabla2[Cierre])</f>
        <v>6.2439898305084709</v>
      </c>
      <c r="L1" s="11" t="s">
        <v>303</v>
      </c>
      <c r="M1" s="11"/>
    </row>
    <row r="2" spans="1:13" x14ac:dyDescent="0.25">
      <c r="A2" s="2">
        <v>1</v>
      </c>
      <c r="B2" s="1">
        <v>2.012</v>
      </c>
      <c r="C2" s="1">
        <v>2</v>
      </c>
      <c r="D2" s="1">
        <v>2.0920000000000001</v>
      </c>
      <c r="E2" s="1">
        <v>1.917</v>
      </c>
      <c r="F2" s="1" t="s">
        <v>297</v>
      </c>
      <c r="G2" s="3">
        <v>0</v>
      </c>
      <c r="I2" s="10" t="s">
        <v>300</v>
      </c>
      <c r="J2" s="10">
        <f>_xlfn.STDEV.S(B2:B296)</f>
        <v>3.3081843793312644</v>
      </c>
      <c r="L2" s="10">
        <f>J1-J5</f>
        <v>5.8664812826890493</v>
      </c>
      <c r="M2" s="10">
        <f>J1+J5</f>
        <v>6.6214983783278925</v>
      </c>
    </row>
    <row r="3" spans="1:13" x14ac:dyDescent="0.25">
      <c r="A3" s="2">
        <v>2</v>
      </c>
      <c r="B3" s="1">
        <v>2.133</v>
      </c>
      <c r="C3" s="1">
        <v>2.008</v>
      </c>
      <c r="D3" s="1">
        <v>2.4169999999999998</v>
      </c>
      <c r="E3" s="1">
        <v>1.929</v>
      </c>
      <c r="F3" s="1" t="s">
        <v>296</v>
      </c>
      <c r="G3" s="3">
        <v>6.0100000000000001E-2</v>
      </c>
      <c r="I3" s="10" t="s">
        <v>301</v>
      </c>
      <c r="J3" s="10">
        <f>COUNT(B2:B296)</f>
        <v>295</v>
      </c>
    </row>
    <row r="4" spans="1:13" x14ac:dyDescent="0.25">
      <c r="A4" s="2">
        <v>3</v>
      </c>
      <c r="B4" s="1">
        <v>2.8919999999999999</v>
      </c>
      <c r="C4" s="1">
        <v>2.371</v>
      </c>
      <c r="D4" s="1">
        <v>2.9750000000000001</v>
      </c>
      <c r="E4" s="1">
        <v>2.371</v>
      </c>
      <c r="F4" s="1" t="s">
        <v>295</v>
      </c>
      <c r="G4" s="3">
        <v>0.35580000000000001</v>
      </c>
      <c r="I4" s="10" t="s">
        <v>302</v>
      </c>
      <c r="J4" s="10">
        <v>0.05</v>
      </c>
    </row>
    <row r="5" spans="1:13" x14ac:dyDescent="0.25">
      <c r="A5" s="2">
        <v>4</v>
      </c>
      <c r="B5" s="1">
        <v>2.9710000000000001</v>
      </c>
      <c r="C5" s="1">
        <v>2.8250000000000002</v>
      </c>
      <c r="D5" s="1">
        <v>3.1080000000000001</v>
      </c>
      <c r="E5" s="1">
        <v>2.742</v>
      </c>
      <c r="F5" s="1" t="s">
        <v>294</v>
      </c>
      <c r="G5" s="3">
        <v>2.7300000000000001E-2</v>
      </c>
      <c r="I5" s="10" t="s">
        <v>304</v>
      </c>
      <c r="J5" s="10">
        <f>_xlfn.CONFIDENCE.NORM(J4,J2,J3)</f>
        <v>0.37750854781942134</v>
      </c>
    </row>
    <row r="6" spans="1:13" x14ac:dyDescent="0.25">
      <c r="A6" s="2">
        <v>5</v>
      </c>
      <c r="B6" s="1">
        <v>2.6920000000000002</v>
      </c>
      <c r="C6" s="1">
        <v>2.746</v>
      </c>
      <c r="D6" s="1">
        <v>3.1669999999999998</v>
      </c>
      <c r="E6" s="1">
        <v>2.6459999999999999</v>
      </c>
      <c r="F6" s="1" t="s">
        <v>293</v>
      </c>
      <c r="G6" s="3">
        <v>-9.3899999999999997E-2</v>
      </c>
    </row>
    <row r="7" spans="1:13" x14ac:dyDescent="0.25">
      <c r="A7" s="2">
        <v>6</v>
      </c>
      <c r="B7" s="1">
        <v>2.9830000000000001</v>
      </c>
      <c r="C7" s="1">
        <v>3.1579999999999999</v>
      </c>
      <c r="D7" s="1">
        <v>3.4710000000000001</v>
      </c>
      <c r="E7" s="1">
        <v>2.9169999999999998</v>
      </c>
      <c r="F7" s="1" t="s">
        <v>292</v>
      </c>
      <c r="G7" s="3">
        <v>0.1081</v>
      </c>
    </row>
    <row r="8" spans="1:13" x14ac:dyDescent="0.25">
      <c r="A8" s="2">
        <v>7</v>
      </c>
      <c r="B8" s="1">
        <v>3</v>
      </c>
      <c r="C8" s="1">
        <v>2.9830000000000001</v>
      </c>
      <c r="D8" s="1">
        <v>3.05</v>
      </c>
      <c r="E8" s="1">
        <v>2.65</v>
      </c>
      <c r="F8" s="1" t="s">
        <v>291</v>
      </c>
      <c r="G8" s="3">
        <v>5.7000000000000002E-3</v>
      </c>
    </row>
    <row r="9" spans="1:13" x14ac:dyDescent="0.25">
      <c r="A9" s="2">
        <v>8</v>
      </c>
      <c r="B9" s="1">
        <v>2.6</v>
      </c>
      <c r="C9" s="1">
        <v>2.9750000000000001</v>
      </c>
      <c r="D9" s="1">
        <v>3</v>
      </c>
      <c r="E9" s="1">
        <v>2.4500000000000002</v>
      </c>
      <c r="F9" s="1" t="s">
        <v>275</v>
      </c>
      <c r="G9" s="3">
        <v>-0.1333</v>
      </c>
    </row>
    <row r="10" spans="1:13" x14ac:dyDescent="0.25">
      <c r="A10" s="2">
        <v>9</v>
      </c>
      <c r="B10" s="1">
        <v>2.7050000000000001</v>
      </c>
      <c r="C10" s="1">
        <v>2.5249999999999999</v>
      </c>
      <c r="D10" s="1">
        <v>2.7450000000000001</v>
      </c>
      <c r="E10" s="1">
        <v>2.25</v>
      </c>
      <c r="F10" s="1" t="s">
        <v>290</v>
      </c>
      <c r="G10" s="3">
        <v>4.0399999999999998E-2</v>
      </c>
    </row>
    <row r="11" spans="1:13" x14ac:dyDescent="0.25">
      <c r="A11" s="2">
        <v>10</v>
      </c>
      <c r="B11" s="1">
        <v>3.15</v>
      </c>
      <c r="C11" s="1">
        <v>2.7050000000000001</v>
      </c>
      <c r="D11" s="1">
        <v>3.25</v>
      </c>
      <c r="E11" s="1">
        <v>2.7050000000000001</v>
      </c>
      <c r="F11" s="1" t="s">
        <v>289</v>
      </c>
      <c r="G11" s="3">
        <v>0.16450000000000001</v>
      </c>
    </row>
    <row r="12" spans="1:13" x14ac:dyDescent="0.25">
      <c r="A12" s="2">
        <v>11</v>
      </c>
      <c r="B12" s="1">
        <v>3.915</v>
      </c>
      <c r="C12" s="1">
        <v>3.15</v>
      </c>
      <c r="D12" s="1">
        <v>3.9249999999999998</v>
      </c>
      <c r="E12" s="1">
        <v>3.145</v>
      </c>
      <c r="F12" s="1" t="s">
        <v>288</v>
      </c>
      <c r="G12" s="3">
        <v>0.2429</v>
      </c>
    </row>
    <row r="13" spans="1:13" x14ac:dyDescent="0.25">
      <c r="A13" s="2">
        <v>12</v>
      </c>
      <c r="B13" s="1">
        <v>3.54</v>
      </c>
      <c r="C13" s="1">
        <v>3.915</v>
      </c>
      <c r="D13" s="1">
        <v>4.0549999999999997</v>
      </c>
      <c r="E13" s="1">
        <v>3.3450000000000002</v>
      </c>
      <c r="F13" s="1" t="s">
        <v>287</v>
      </c>
      <c r="G13" s="3">
        <v>-9.5799999999999996E-2</v>
      </c>
    </row>
    <row r="14" spans="1:13" x14ac:dyDescent="0.25">
      <c r="A14" s="2">
        <v>13</v>
      </c>
      <c r="B14" s="1">
        <v>3.5249999999999999</v>
      </c>
      <c r="C14" s="1">
        <v>3.5</v>
      </c>
      <c r="D14" s="1">
        <v>3.85</v>
      </c>
      <c r="E14" s="1">
        <v>3.45</v>
      </c>
      <c r="F14" s="1" t="s">
        <v>286</v>
      </c>
      <c r="G14" s="3">
        <v>-4.1999999999999997E-3</v>
      </c>
    </row>
    <row r="15" spans="1:13" x14ac:dyDescent="0.25">
      <c r="A15" s="2">
        <v>14</v>
      </c>
      <c r="B15" s="1">
        <v>3.395</v>
      </c>
      <c r="C15" s="1">
        <v>3.5249999999999999</v>
      </c>
      <c r="D15" s="1">
        <v>3.91</v>
      </c>
      <c r="E15" s="1">
        <v>3.38</v>
      </c>
      <c r="F15" s="1" t="s">
        <v>285</v>
      </c>
      <c r="G15" s="3">
        <v>-3.6900000000000002E-2</v>
      </c>
    </row>
    <row r="16" spans="1:13" x14ac:dyDescent="0.25">
      <c r="A16" s="2">
        <v>15</v>
      </c>
      <c r="B16" s="1">
        <v>2.92</v>
      </c>
      <c r="C16" s="1">
        <v>3.39</v>
      </c>
      <c r="D16" s="1">
        <v>3.39</v>
      </c>
      <c r="E16" s="1">
        <v>2.7</v>
      </c>
      <c r="F16" s="1" t="s">
        <v>284</v>
      </c>
      <c r="G16" s="3">
        <v>-0.1399</v>
      </c>
    </row>
    <row r="17" spans="1:7" x14ac:dyDescent="0.25">
      <c r="A17" s="2">
        <v>16</v>
      </c>
      <c r="B17" s="1">
        <v>3</v>
      </c>
      <c r="C17" s="1">
        <v>2.9249999999999998</v>
      </c>
      <c r="D17" s="1">
        <v>3.25</v>
      </c>
      <c r="E17" s="1">
        <v>2.6749999999999998</v>
      </c>
      <c r="F17" s="1" t="s">
        <v>283</v>
      </c>
      <c r="G17" s="3">
        <v>2.7400000000000001E-2</v>
      </c>
    </row>
    <row r="18" spans="1:7" x14ac:dyDescent="0.25">
      <c r="A18" s="2">
        <v>17</v>
      </c>
      <c r="B18" s="1">
        <v>2.895</v>
      </c>
      <c r="C18" s="1">
        <v>3</v>
      </c>
      <c r="D18" s="1">
        <v>3.0449999999999999</v>
      </c>
      <c r="E18" s="1">
        <v>2.78</v>
      </c>
      <c r="F18" s="1" t="s">
        <v>282</v>
      </c>
      <c r="G18" s="3">
        <v>-3.5000000000000003E-2</v>
      </c>
    </row>
    <row r="19" spans="1:7" x14ac:dyDescent="0.25">
      <c r="A19" s="2">
        <v>18</v>
      </c>
      <c r="B19" s="1">
        <v>3.4449999999999998</v>
      </c>
      <c r="C19" s="1">
        <v>3.05</v>
      </c>
      <c r="D19" s="1">
        <v>3.625</v>
      </c>
      <c r="E19" s="1">
        <v>3</v>
      </c>
      <c r="F19" s="1" t="s">
        <v>281</v>
      </c>
      <c r="G19" s="3">
        <v>0.19</v>
      </c>
    </row>
    <row r="20" spans="1:7" x14ac:dyDescent="0.25">
      <c r="A20" s="2">
        <v>19</v>
      </c>
      <c r="B20" s="1">
        <v>3.7250000000000001</v>
      </c>
      <c r="C20" s="1">
        <v>3.4249999999999998</v>
      </c>
      <c r="D20" s="1">
        <v>3.75</v>
      </c>
      <c r="E20" s="1">
        <v>3.25</v>
      </c>
      <c r="F20" s="1" t="s">
        <v>280</v>
      </c>
      <c r="G20" s="3">
        <v>8.1299999999999997E-2</v>
      </c>
    </row>
    <row r="21" spans="1:7" x14ac:dyDescent="0.25">
      <c r="A21" s="2">
        <v>20</v>
      </c>
      <c r="B21" s="1">
        <v>3.8250000000000002</v>
      </c>
      <c r="C21" s="1">
        <v>3.7250000000000001</v>
      </c>
      <c r="D21" s="1">
        <v>3.9249999999999998</v>
      </c>
      <c r="E21" s="1">
        <v>3.7</v>
      </c>
      <c r="F21" s="1" t="s">
        <v>279</v>
      </c>
      <c r="G21" s="3">
        <v>2.6800000000000001E-2</v>
      </c>
    </row>
    <row r="22" spans="1:7" x14ac:dyDescent="0.25">
      <c r="A22" s="2">
        <v>21</v>
      </c>
      <c r="B22" s="1">
        <v>3.375</v>
      </c>
      <c r="C22" s="1">
        <v>3.75</v>
      </c>
      <c r="D22" s="1">
        <v>3.75</v>
      </c>
      <c r="E22" s="1">
        <v>2.895</v>
      </c>
      <c r="F22" s="1" t="s">
        <v>278</v>
      </c>
      <c r="G22" s="3">
        <v>-0.1176</v>
      </c>
    </row>
    <row r="23" spans="1:7" x14ac:dyDescent="0.25">
      <c r="A23" s="2">
        <v>22</v>
      </c>
      <c r="B23" s="1">
        <v>2.8050000000000002</v>
      </c>
      <c r="C23" s="1">
        <v>3.35</v>
      </c>
      <c r="D23" s="1">
        <v>3.35</v>
      </c>
      <c r="E23" s="1">
        <v>2.7749999999999999</v>
      </c>
      <c r="F23" s="1" t="s">
        <v>277</v>
      </c>
      <c r="G23" s="3">
        <v>-0.16889999999999999</v>
      </c>
    </row>
    <row r="24" spans="1:7" x14ac:dyDescent="0.25">
      <c r="A24" s="2">
        <v>23</v>
      </c>
      <c r="B24" s="1">
        <v>2.75</v>
      </c>
      <c r="C24" s="1">
        <v>2.7749999999999999</v>
      </c>
      <c r="D24" s="1">
        <v>2.8650000000000002</v>
      </c>
      <c r="E24" s="1">
        <v>2.4049999999999998</v>
      </c>
      <c r="F24" s="1" t="s">
        <v>276</v>
      </c>
      <c r="G24" s="3">
        <v>-1.9599999999999999E-2</v>
      </c>
    </row>
    <row r="25" spans="1:7" x14ac:dyDescent="0.25">
      <c r="A25" s="2">
        <v>24</v>
      </c>
      <c r="B25" s="1">
        <v>2.95</v>
      </c>
      <c r="C25" s="1">
        <v>2.855</v>
      </c>
      <c r="D25" s="1">
        <v>3.03</v>
      </c>
      <c r="E25" s="1">
        <v>2.8</v>
      </c>
      <c r="F25" s="1" t="s">
        <v>275</v>
      </c>
      <c r="G25" s="3">
        <v>7.2700000000000001E-2</v>
      </c>
    </row>
    <row r="26" spans="1:7" x14ac:dyDescent="0.25">
      <c r="A26" s="2">
        <v>25</v>
      </c>
      <c r="B26" s="1">
        <v>2.6579999999999999</v>
      </c>
      <c r="C26" s="1">
        <v>2.9380000000000002</v>
      </c>
      <c r="D26" s="1">
        <v>2.9750000000000001</v>
      </c>
      <c r="E26" s="1">
        <v>2.4750000000000001</v>
      </c>
      <c r="F26" s="1" t="s">
        <v>274</v>
      </c>
      <c r="G26" s="3">
        <v>-9.9000000000000005E-2</v>
      </c>
    </row>
    <row r="27" spans="1:7" x14ac:dyDescent="0.25">
      <c r="A27" s="2">
        <v>26</v>
      </c>
      <c r="B27" s="1">
        <v>2.9550000000000001</v>
      </c>
      <c r="C27" s="1">
        <v>2.6579999999999999</v>
      </c>
      <c r="D27" s="1">
        <v>2.9870000000000001</v>
      </c>
      <c r="E27" s="1">
        <v>2.5750000000000002</v>
      </c>
      <c r="F27" s="1" t="s">
        <v>273</v>
      </c>
      <c r="G27" s="3">
        <v>0.11169999999999999</v>
      </c>
    </row>
    <row r="28" spans="1:7" x14ac:dyDescent="0.25">
      <c r="A28" s="2">
        <v>27</v>
      </c>
      <c r="B28" s="1">
        <v>3.2229999999999999</v>
      </c>
      <c r="C28" s="1">
        <v>2.9750000000000001</v>
      </c>
      <c r="D28" s="1">
        <v>3.3</v>
      </c>
      <c r="E28" s="1">
        <v>2.9249999999999998</v>
      </c>
      <c r="F28" s="1" t="s">
        <v>272</v>
      </c>
      <c r="G28" s="3">
        <v>9.0700000000000003E-2</v>
      </c>
    </row>
    <row r="29" spans="1:7" x14ac:dyDescent="0.25">
      <c r="A29" s="2">
        <v>28</v>
      </c>
      <c r="B29" s="1">
        <v>3.6749999999999998</v>
      </c>
      <c r="C29" s="1">
        <v>3.2229999999999999</v>
      </c>
      <c r="D29" s="1">
        <v>3.75</v>
      </c>
      <c r="E29" s="1">
        <v>3</v>
      </c>
      <c r="F29" s="1" t="s">
        <v>271</v>
      </c>
      <c r="G29" s="3">
        <v>0.14019999999999999</v>
      </c>
    </row>
    <row r="30" spans="1:7" x14ac:dyDescent="0.25">
      <c r="A30" s="2">
        <v>29</v>
      </c>
      <c r="B30" s="1">
        <v>3.7320000000000002</v>
      </c>
      <c r="C30" s="1">
        <v>3.6749999999999998</v>
      </c>
      <c r="D30" s="1">
        <v>3.875</v>
      </c>
      <c r="E30" s="1">
        <v>3.45</v>
      </c>
      <c r="F30" s="1" t="s">
        <v>270</v>
      </c>
      <c r="G30" s="3">
        <v>1.55E-2</v>
      </c>
    </row>
    <row r="31" spans="1:7" x14ac:dyDescent="0.25">
      <c r="A31" s="2">
        <v>30</v>
      </c>
      <c r="B31" s="1">
        <v>3.82</v>
      </c>
      <c r="C31" s="1">
        <v>3.75</v>
      </c>
      <c r="D31" s="1">
        <v>3.9249999999999998</v>
      </c>
      <c r="E31" s="1">
        <v>3.7</v>
      </c>
      <c r="F31" s="1" t="s">
        <v>269</v>
      </c>
      <c r="G31" s="3">
        <v>2.3599999999999999E-2</v>
      </c>
    </row>
    <row r="32" spans="1:7" x14ac:dyDescent="0.25">
      <c r="A32" s="2">
        <v>31</v>
      </c>
      <c r="B32" s="1">
        <v>3.5</v>
      </c>
      <c r="C32" s="1">
        <v>3.82</v>
      </c>
      <c r="D32" s="1">
        <v>3.82</v>
      </c>
      <c r="E32" s="1">
        <v>3.3</v>
      </c>
      <c r="F32" s="1" t="s">
        <v>268</v>
      </c>
      <c r="G32" s="3">
        <v>-8.3799999999999999E-2</v>
      </c>
    </row>
    <row r="33" spans="1:7" x14ac:dyDescent="0.25">
      <c r="A33" s="2">
        <v>32</v>
      </c>
      <c r="B33" s="1">
        <v>2.9750000000000001</v>
      </c>
      <c r="C33" s="1">
        <v>3.49</v>
      </c>
      <c r="D33" s="1">
        <v>3.49</v>
      </c>
      <c r="E33" s="1">
        <v>2.6629999999999998</v>
      </c>
      <c r="F33" s="1" t="s">
        <v>267</v>
      </c>
      <c r="G33" s="3">
        <v>-0.15</v>
      </c>
    </row>
    <row r="34" spans="1:7" x14ac:dyDescent="0.25">
      <c r="A34" s="2">
        <v>33</v>
      </c>
      <c r="B34" s="1">
        <v>3.1429999999999998</v>
      </c>
      <c r="C34" s="1">
        <v>2.9750000000000001</v>
      </c>
      <c r="D34" s="1">
        <v>3.15</v>
      </c>
      <c r="E34" s="1">
        <v>2.8620000000000001</v>
      </c>
      <c r="F34" s="1" t="s">
        <v>266</v>
      </c>
      <c r="G34" s="3">
        <v>5.6500000000000002E-2</v>
      </c>
    </row>
    <row r="35" spans="1:7" x14ac:dyDescent="0.25">
      <c r="A35" s="2">
        <v>34</v>
      </c>
      <c r="B35" s="1">
        <v>3.7320000000000002</v>
      </c>
      <c r="C35" s="1">
        <v>3.1429999999999998</v>
      </c>
      <c r="D35" s="1">
        <v>3.8</v>
      </c>
      <c r="E35" s="1">
        <v>3.1120000000000001</v>
      </c>
      <c r="F35" s="1" t="s">
        <v>265</v>
      </c>
      <c r="G35" s="3">
        <v>0.18740000000000001</v>
      </c>
    </row>
    <row r="36" spans="1:7" x14ac:dyDescent="0.25">
      <c r="A36" s="2">
        <v>35</v>
      </c>
      <c r="B36" s="1">
        <v>4.0369999999999999</v>
      </c>
      <c r="C36" s="1">
        <v>3.7320000000000002</v>
      </c>
      <c r="D36" s="1">
        <v>4.05</v>
      </c>
      <c r="E36" s="1">
        <v>3.7</v>
      </c>
      <c r="F36" s="1" t="s">
        <v>264</v>
      </c>
      <c r="G36" s="3">
        <v>8.1699999999999995E-2</v>
      </c>
    </row>
    <row r="37" spans="1:7" x14ac:dyDescent="0.25">
      <c r="A37" s="2">
        <v>36</v>
      </c>
      <c r="B37" s="1">
        <v>4.3570000000000002</v>
      </c>
      <c r="C37" s="1">
        <v>3.9750000000000001</v>
      </c>
      <c r="D37" s="1">
        <v>4.5</v>
      </c>
      <c r="E37" s="1">
        <v>3.9380000000000002</v>
      </c>
      <c r="F37" s="1" t="s">
        <v>263</v>
      </c>
      <c r="G37" s="3">
        <v>7.9299999999999995E-2</v>
      </c>
    </row>
    <row r="38" spans="1:7" x14ac:dyDescent="0.25">
      <c r="A38" s="2">
        <v>37</v>
      </c>
      <c r="B38" s="1">
        <v>4.34</v>
      </c>
      <c r="C38" s="1">
        <v>4.375</v>
      </c>
      <c r="D38" s="1">
        <v>4.3879999999999999</v>
      </c>
      <c r="E38" s="1">
        <v>3.9</v>
      </c>
      <c r="F38" s="1" t="s">
        <v>262</v>
      </c>
      <c r="G38" s="3">
        <v>-3.8999999999999998E-3</v>
      </c>
    </row>
    <row r="39" spans="1:7" x14ac:dyDescent="0.25">
      <c r="A39" s="2">
        <v>38</v>
      </c>
      <c r="B39" s="1">
        <v>4.57</v>
      </c>
      <c r="C39" s="1">
        <v>4.3499999999999996</v>
      </c>
      <c r="D39" s="1">
        <v>4.75</v>
      </c>
      <c r="E39" s="1">
        <v>4.28</v>
      </c>
      <c r="F39" s="1" t="s">
        <v>261</v>
      </c>
      <c r="G39" s="3">
        <v>5.2999999999999999E-2</v>
      </c>
    </row>
    <row r="40" spans="1:7" x14ac:dyDescent="0.25">
      <c r="A40" s="2">
        <v>39</v>
      </c>
      <c r="B40" s="1">
        <v>4.53</v>
      </c>
      <c r="C40" s="1">
        <v>4.5999999999999996</v>
      </c>
      <c r="D40" s="1">
        <v>4.83</v>
      </c>
      <c r="E40" s="1">
        <v>4.45</v>
      </c>
      <c r="F40" s="1" t="s">
        <v>260</v>
      </c>
      <c r="G40" s="3">
        <v>-8.8000000000000005E-3</v>
      </c>
    </row>
    <row r="41" spans="1:7" x14ac:dyDescent="0.25">
      <c r="A41" s="2">
        <v>40</v>
      </c>
      <c r="B41" s="1">
        <v>4.38</v>
      </c>
      <c r="C41" s="1">
        <v>4.53</v>
      </c>
      <c r="D41" s="1">
        <v>5.34</v>
      </c>
      <c r="E41" s="1">
        <v>4.12</v>
      </c>
      <c r="F41" s="1" t="s">
        <v>259</v>
      </c>
      <c r="G41" s="3">
        <v>-3.3099999999999997E-2</v>
      </c>
    </row>
    <row r="42" spans="1:7" x14ac:dyDescent="0.25">
      <c r="A42" s="2">
        <v>41</v>
      </c>
      <c r="B42" s="1">
        <v>3.63</v>
      </c>
      <c r="C42" s="1">
        <v>4.38</v>
      </c>
      <c r="D42" s="1">
        <v>4.38</v>
      </c>
      <c r="E42" s="1">
        <v>3.62</v>
      </c>
      <c r="F42" s="1" t="s">
        <v>258</v>
      </c>
      <c r="G42" s="3">
        <v>-0.17119999999999999</v>
      </c>
    </row>
    <row r="43" spans="1:7" x14ac:dyDescent="0.25">
      <c r="A43" s="2">
        <v>42</v>
      </c>
      <c r="B43" s="1">
        <v>3.58</v>
      </c>
      <c r="C43" s="1">
        <v>3.7</v>
      </c>
      <c r="D43" s="1">
        <v>3.86</v>
      </c>
      <c r="E43" s="1">
        <v>3.17</v>
      </c>
      <c r="F43" s="1" t="s">
        <v>257</v>
      </c>
      <c r="G43" s="3">
        <v>-1.38E-2</v>
      </c>
    </row>
    <row r="44" spans="1:7" x14ac:dyDescent="0.25">
      <c r="A44" s="2">
        <v>43</v>
      </c>
      <c r="B44" s="1">
        <v>3.94</v>
      </c>
      <c r="C44" s="1">
        <v>3.58</v>
      </c>
      <c r="D44" s="1">
        <v>3.96</v>
      </c>
      <c r="E44" s="1">
        <v>3.35</v>
      </c>
      <c r="F44" s="1" t="s">
        <v>256</v>
      </c>
      <c r="G44" s="3">
        <v>0.10059999999999999</v>
      </c>
    </row>
    <row r="45" spans="1:7" x14ac:dyDescent="0.25">
      <c r="A45" s="2">
        <v>44</v>
      </c>
      <c r="B45" s="1">
        <v>3.63</v>
      </c>
      <c r="C45" s="1">
        <v>3.92</v>
      </c>
      <c r="D45" s="1">
        <v>3.92</v>
      </c>
      <c r="E45" s="1">
        <v>3.2</v>
      </c>
      <c r="F45" s="1" t="s">
        <v>255</v>
      </c>
      <c r="G45" s="3">
        <v>-7.8700000000000006E-2</v>
      </c>
    </row>
    <row r="46" spans="1:7" x14ac:dyDescent="0.25">
      <c r="A46" s="2">
        <v>45</v>
      </c>
      <c r="B46" s="1">
        <v>3.75</v>
      </c>
      <c r="C46" s="1">
        <v>3.63</v>
      </c>
      <c r="D46" s="1">
        <v>4.1100000000000003</v>
      </c>
      <c r="E46" s="1">
        <v>3.52</v>
      </c>
      <c r="F46" s="1" t="s">
        <v>254</v>
      </c>
      <c r="G46" s="3">
        <v>3.3099999999999997E-2</v>
      </c>
    </row>
    <row r="47" spans="1:7" x14ac:dyDescent="0.25">
      <c r="A47" s="2">
        <v>46</v>
      </c>
      <c r="B47" s="1">
        <v>4.01</v>
      </c>
      <c r="C47" s="1">
        <v>3.73</v>
      </c>
      <c r="D47" s="1">
        <v>4.1100000000000003</v>
      </c>
      <c r="E47" s="1">
        <v>3.67</v>
      </c>
      <c r="F47" s="1" t="s">
        <v>253</v>
      </c>
      <c r="G47" s="3">
        <v>6.93E-2</v>
      </c>
    </row>
    <row r="48" spans="1:7" x14ac:dyDescent="0.25">
      <c r="A48" s="2">
        <v>47</v>
      </c>
      <c r="B48" s="1">
        <v>3.88</v>
      </c>
      <c r="C48" s="1">
        <v>4.05</v>
      </c>
      <c r="D48" s="1">
        <v>4.17</v>
      </c>
      <c r="E48" s="1">
        <v>3.85</v>
      </c>
      <c r="F48" s="1" t="s">
        <v>252</v>
      </c>
      <c r="G48" s="3">
        <v>-3.2399999999999998E-2</v>
      </c>
    </row>
    <row r="49" spans="1:7" x14ac:dyDescent="0.25">
      <c r="A49" s="2">
        <v>48</v>
      </c>
      <c r="B49" s="1">
        <v>4.03</v>
      </c>
      <c r="C49" s="1">
        <v>3.89</v>
      </c>
      <c r="D49" s="1">
        <v>4.21</v>
      </c>
      <c r="E49" s="1">
        <v>3.88</v>
      </c>
      <c r="F49" s="1" t="s">
        <v>251</v>
      </c>
      <c r="G49" s="3">
        <v>3.8699999999999998E-2</v>
      </c>
    </row>
    <row r="50" spans="1:7" x14ac:dyDescent="0.25">
      <c r="A50" s="2">
        <v>49</v>
      </c>
      <c r="B50" s="1">
        <v>4.3600000000000003</v>
      </c>
      <c r="C50" s="1">
        <v>4.03</v>
      </c>
      <c r="D50" s="1">
        <v>4.38</v>
      </c>
      <c r="E50" s="1">
        <v>4</v>
      </c>
      <c r="F50" s="1" t="s">
        <v>250</v>
      </c>
      <c r="G50" s="3">
        <v>8.1900000000000001E-2</v>
      </c>
    </row>
    <row r="51" spans="1:7" x14ac:dyDescent="0.25">
      <c r="A51" s="2">
        <v>50</v>
      </c>
      <c r="B51" s="1">
        <v>4.17</v>
      </c>
      <c r="C51" s="1">
        <v>4.3600000000000003</v>
      </c>
      <c r="D51" s="1">
        <v>4.3600000000000003</v>
      </c>
      <c r="E51" s="1">
        <v>3.75</v>
      </c>
      <c r="F51" s="1" t="s">
        <v>249</v>
      </c>
      <c r="G51" s="3">
        <v>-4.36E-2</v>
      </c>
    </row>
    <row r="52" spans="1:7" x14ac:dyDescent="0.25">
      <c r="A52" s="2">
        <v>51</v>
      </c>
      <c r="B52" s="1">
        <v>4.75</v>
      </c>
      <c r="C52" s="1">
        <v>4.1500000000000004</v>
      </c>
      <c r="D52" s="1">
        <v>4.8099999999999996</v>
      </c>
      <c r="E52" s="1">
        <v>4</v>
      </c>
      <c r="F52" s="1" t="s">
        <v>248</v>
      </c>
      <c r="G52" s="3">
        <v>0.1391</v>
      </c>
    </row>
    <row r="53" spans="1:7" x14ac:dyDescent="0.25">
      <c r="A53" s="2">
        <v>52</v>
      </c>
      <c r="B53" s="1">
        <v>4.92</v>
      </c>
      <c r="C53" s="1">
        <v>4.75</v>
      </c>
      <c r="D53" s="1">
        <v>4.92</v>
      </c>
      <c r="E53" s="1">
        <v>4.5999999999999996</v>
      </c>
      <c r="F53" s="1" t="s">
        <v>247</v>
      </c>
      <c r="G53" s="3">
        <v>3.5799999999999998E-2</v>
      </c>
    </row>
    <row r="54" spans="1:7" x14ac:dyDescent="0.25">
      <c r="A54" s="2">
        <v>53</v>
      </c>
      <c r="B54" s="1">
        <v>5.19</v>
      </c>
      <c r="C54" s="1">
        <v>4.92</v>
      </c>
      <c r="D54" s="1">
        <v>5.39</v>
      </c>
      <c r="E54" s="1">
        <v>4.58</v>
      </c>
      <c r="F54" s="1" t="s">
        <v>246</v>
      </c>
      <c r="G54" s="3">
        <v>5.4899999999999997E-2</v>
      </c>
    </row>
    <row r="55" spans="1:7" x14ac:dyDescent="0.25">
      <c r="A55" s="2">
        <v>54</v>
      </c>
      <c r="B55" s="1">
        <v>5.92</v>
      </c>
      <c r="C55" s="1">
        <v>5.19</v>
      </c>
      <c r="D55" s="1">
        <v>6.04</v>
      </c>
      <c r="E55" s="1">
        <v>5.15</v>
      </c>
      <c r="F55" s="1" t="s">
        <v>245</v>
      </c>
      <c r="G55" s="3">
        <v>0.14069999999999999</v>
      </c>
    </row>
    <row r="56" spans="1:7" x14ac:dyDescent="0.25">
      <c r="A56" s="2">
        <v>55</v>
      </c>
      <c r="B56" s="1">
        <v>5.97</v>
      </c>
      <c r="C56" s="1">
        <v>5.9</v>
      </c>
      <c r="D56" s="1">
        <v>6.1</v>
      </c>
      <c r="E56" s="1">
        <v>5.67</v>
      </c>
      <c r="F56" s="1" t="s">
        <v>244</v>
      </c>
      <c r="G56" s="3">
        <v>8.3999999999999995E-3</v>
      </c>
    </row>
    <row r="57" spans="1:7" x14ac:dyDescent="0.25">
      <c r="A57" s="2">
        <v>56</v>
      </c>
      <c r="B57" s="1">
        <v>6.47</v>
      </c>
      <c r="C57" s="1">
        <v>5.94</v>
      </c>
      <c r="D57" s="1">
        <v>6.96</v>
      </c>
      <c r="E57" s="1">
        <v>5.94</v>
      </c>
      <c r="F57" s="1" t="s">
        <v>243</v>
      </c>
      <c r="G57" s="3">
        <v>8.3799999999999999E-2</v>
      </c>
    </row>
    <row r="58" spans="1:7" x14ac:dyDescent="0.25">
      <c r="A58" s="2">
        <v>57</v>
      </c>
      <c r="B58" s="1">
        <v>7.54</v>
      </c>
      <c r="C58" s="1">
        <v>6.5</v>
      </c>
      <c r="D58" s="1">
        <v>7.75</v>
      </c>
      <c r="E58" s="1">
        <v>6.5</v>
      </c>
      <c r="F58" s="1" t="s">
        <v>242</v>
      </c>
      <c r="G58" s="3">
        <v>0.16539999999999999</v>
      </c>
    </row>
    <row r="59" spans="1:7" x14ac:dyDescent="0.25">
      <c r="A59" s="2">
        <v>58</v>
      </c>
      <c r="B59" s="1">
        <v>6.9</v>
      </c>
      <c r="C59" s="1">
        <v>7.54</v>
      </c>
      <c r="D59" s="1">
        <v>7.54</v>
      </c>
      <c r="E59" s="1">
        <v>6.42</v>
      </c>
      <c r="F59" s="1" t="s">
        <v>241</v>
      </c>
      <c r="G59" s="3">
        <v>-8.4900000000000003E-2</v>
      </c>
    </row>
    <row r="60" spans="1:7" x14ac:dyDescent="0.25">
      <c r="A60" s="2">
        <v>59</v>
      </c>
      <c r="B60" s="1">
        <v>6.98</v>
      </c>
      <c r="C60" s="1">
        <v>6.94</v>
      </c>
      <c r="D60" s="1">
        <v>7.08</v>
      </c>
      <c r="E60" s="1">
        <v>6.59</v>
      </c>
      <c r="F60" s="1" t="s">
        <v>240</v>
      </c>
      <c r="G60" s="3">
        <v>1.1599999999999999E-2</v>
      </c>
    </row>
    <row r="61" spans="1:7" x14ac:dyDescent="0.25">
      <c r="A61" s="2">
        <v>60</v>
      </c>
      <c r="B61" s="1">
        <v>8.51</v>
      </c>
      <c r="C61" s="1">
        <v>7</v>
      </c>
      <c r="D61" s="1">
        <v>8.57</v>
      </c>
      <c r="E61" s="1">
        <v>6.97</v>
      </c>
      <c r="F61" s="1" t="s">
        <v>239</v>
      </c>
      <c r="G61" s="3">
        <v>0.21920000000000001</v>
      </c>
    </row>
    <row r="62" spans="1:7" x14ac:dyDescent="0.25">
      <c r="A62" s="2">
        <v>61</v>
      </c>
      <c r="B62" s="1">
        <v>8.5079999999999991</v>
      </c>
      <c r="C62" s="1">
        <v>8.625</v>
      </c>
      <c r="D62" s="1">
        <v>9.1</v>
      </c>
      <c r="E62" s="1">
        <v>8</v>
      </c>
      <c r="F62" s="1" t="s">
        <v>238</v>
      </c>
      <c r="G62" s="3">
        <v>-2.0000000000000001E-4</v>
      </c>
    </row>
    <row r="63" spans="1:7" x14ac:dyDescent="0.25">
      <c r="A63" s="2">
        <v>62</v>
      </c>
      <c r="B63" s="1">
        <v>8.75</v>
      </c>
      <c r="C63" s="1">
        <v>8.5250000000000004</v>
      </c>
      <c r="D63" s="1">
        <v>9</v>
      </c>
      <c r="E63" s="1">
        <v>8.1999999999999993</v>
      </c>
      <c r="F63" s="1" t="s">
        <v>237</v>
      </c>
      <c r="G63" s="3">
        <v>2.8400000000000002E-2</v>
      </c>
    </row>
    <row r="64" spans="1:7" x14ac:dyDescent="0.25">
      <c r="A64" s="2">
        <v>63</v>
      </c>
      <c r="B64" s="1">
        <v>7.7850000000000001</v>
      </c>
      <c r="C64" s="1">
        <v>8.75</v>
      </c>
      <c r="D64" s="1">
        <v>8.9469999999999992</v>
      </c>
      <c r="E64" s="1">
        <v>7.7</v>
      </c>
      <c r="F64" s="1" t="s">
        <v>236</v>
      </c>
      <c r="G64" s="3">
        <v>-0.1103</v>
      </c>
    </row>
    <row r="65" spans="1:7" x14ac:dyDescent="0.25">
      <c r="A65" s="2">
        <v>64</v>
      </c>
      <c r="B65" s="1">
        <v>7.75</v>
      </c>
      <c r="C65" s="1">
        <v>7.8</v>
      </c>
      <c r="D65" s="1">
        <v>8.4</v>
      </c>
      <c r="E65" s="1">
        <v>7</v>
      </c>
      <c r="F65" s="1" t="s">
        <v>235</v>
      </c>
      <c r="G65" s="3">
        <v>-4.4999999999999997E-3</v>
      </c>
    </row>
    <row r="66" spans="1:7" x14ac:dyDescent="0.25">
      <c r="A66" s="2">
        <v>65</v>
      </c>
      <c r="B66" s="1">
        <v>8.2870000000000008</v>
      </c>
      <c r="C66" s="1">
        <v>7.75</v>
      </c>
      <c r="D66" s="1">
        <v>8.6880000000000006</v>
      </c>
      <c r="E66" s="1">
        <v>7.75</v>
      </c>
      <c r="F66" s="1" t="s">
        <v>234</v>
      </c>
      <c r="G66" s="3">
        <v>6.93E-2</v>
      </c>
    </row>
    <row r="67" spans="1:7" x14ac:dyDescent="0.25">
      <c r="A67" s="2">
        <v>66</v>
      </c>
      <c r="B67" s="1">
        <v>7.75</v>
      </c>
      <c r="C67" s="1">
        <v>8.2870000000000008</v>
      </c>
      <c r="D67" s="1">
        <v>8.5500000000000007</v>
      </c>
      <c r="E67" s="1">
        <v>7.5030000000000001</v>
      </c>
      <c r="F67" s="1" t="s">
        <v>233</v>
      </c>
      <c r="G67" s="3">
        <v>-6.4799999999999996E-2</v>
      </c>
    </row>
    <row r="68" spans="1:7" x14ac:dyDescent="0.25">
      <c r="A68" s="2">
        <v>67</v>
      </c>
      <c r="B68" s="1">
        <v>7.625</v>
      </c>
      <c r="C68" s="1">
        <v>7.75</v>
      </c>
      <c r="D68" s="1">
        <v>7.8</v>
      </c>
      <c r="E68" s="1">
        <v>7.2</v>
      </c>
      <c r="F68" s="1" t="s">
        <v>232</v>
      </c>
      <c r="G68" s="3">
        <v>-1.61E-2</v>
      </c>
    </row>
    <row r="69" spans="1:7" x14ac:dyDescent="0.25">
      <c r="A69" s="2">
        <v>68</v>
      </c>
      <c r="B69" s="1">
        <v>8.125</v>
      </c>
      <c r="C69" s="1">
        <v>7.625</v>
      </c>
      <c r="D69" s="1">
        <v>8.3149999999999995</v>
      </c>
      <c r="E69" s="1">
        <v>7.2249999999999996</v>
      </c>
      <c r="F69" s="1" t="s">
        <v>231</v>
      </c>
      <c r="G69" s="3">
        <v>6.5600000000000006E-2</v>
      </c>
    </row>
    <row r="70" spans="1:7" x14ac:dyDescent="0.25">
      <c r="A70" s="2">
        <v>69</v>
      </c>
      <c r="B70" s="1">
        <v>7.7130000000000001</v>
      </c>
      <c r="C70" s="1">
        <v>8.1270000000000007</v>
      </c>
      <c r="D70" s="1">
        <v>8.375</v>
      </c>
      <c r="E70" s="1">
        <v>7.4749999999999996</v>
      </c>
      <c r="F70" s="1" t="s">
        <v>230</v>
      </c>
      <c r="G70" s="3">
        <v>-5.0700000000000002E-2</v>
      </c>
    </row>
    <row r="71" spans="1:7" x14ac:dyDescent="0.25">
      <c r="A71" s="2">
        <v>70</v>
      </c>
      <c r="B71" s="1">
        <v>8.2620000000000005</v>
      </c>
      <c r="C71" s="1">
        <v>7.75</v>
      </c>
      <c r="D71" s="1">
        <v>8.4879999999999995</v>
      </c>
      <c r="E71" s="1">
        <v>7.75</v>
      </c>
      <c r="F71" s="1" t="s">
        <v>229</v>
      </c>
      <c r="G71" s="3">
        <v>7.1199999999999999E-2</v>
      </c>
    </row>
    <row r="72" spans="1:7" x14ac:dyDescent="0.25">
      <c r="A72" s="2">
        <v>71</v>
      </c>
      <c r="B72" s="1">
        <v>8.375</v>
      </c>
      <c r="C72" s="1">
        <v>8.2620000000000005</v>
      </c>
      <c r="D72" s="1">
        <v>8.5500000000000007</v>
      </c>
      <c r="E72" s="1">
        <v>8.125</v>
      </c>
      <c r="F72" s="1" t="s">
        <v>228</v>
      </c>
      <c r="G72" s="3">
        <v>1.37E-2</v>
      </c>
    </row>
    <row r="73" spans="1:7" x14ac:dyDescent="0.25">
      <c r="A73" s="2">
        <v>72</v>
      </c>
      <c r="B73" s="1">
        <v>10.195</v>
      </c>
      <c r="C73" s="1">
        <v>8.35</v>
      </c>
      <c r="D73" s="1">
        <v>10.212999999999999</v>
      </c>
      <c r="E73" s="1">
        <v>8.1</v>
      </c>
      <c r="F73" s="1" t="s">
        <v>227</v>
      </c>
      <c r="G73" s="3">
        <v>0.21729999999999999</v>
      </c>
    </row>
    <row r="74" spans="1:7" x14ac:dyDescent="0.25">
      <c r="A74" s="2">
        <v>73</v>
      </c>
      <c r="B74" s="1">
        <v>10.276999999999999</v>
      </c>
      <c r="C74" s="1">
        <v>10.195</v>
      </c>
      <c r="D74" s="1">
        <v>11.303000000000001</v>
      </c>
      <c r="E74" s="1">
        <v>9.75</v>
      </c>
      <c r="F74" s="1" t="s">
        <v>226</v>
      </c>
      <c r="G74" s="3">
        <v>8.0000000000000002E-3</v>
      </c>
    </row>
    <row r="75" spans="1:7" x14ac:dyDescent="0.25">
      <c r="A75" s="2">
        <v>74</v>
      </c>
      <c r="B75" s="1">
        <v>9.2769999999999992</v>
      </c>
      <c r="C75" s="1">
        <v>10.311999999999999</v>
      </c>
      <c r="D75" s="1">
        <v>10.412000000000001</v>
      </c>
      <c r="E75" s="1">
        <v>9.0250000000000004</v>
      </c>
      <c r="F75" s="1" t="s">
        <v>225</v>
      </c>
      <c r="G75" s="3">
        <v>-9.7299999999999998E-2</v>
      </c>
    </row>
    <row r="76" spans="1:7" x14ac:dyDescent="0.25">
      <c r="A76" s="2">
        <v>75</v>
      </c>
      <c r="B76" s="1">
        <v>8.5429999999999993</v>
      </c>
      <c r="C76" s="1">
        <v>9.34</v>
      </c>
      <c r="D76" s="1">
        <v>9.34</v>
      </c>
      <c r="E76" s="1">
        <v>7.9749999999999996</v>
      </c>
      <c r="F76" s="1" t="s">
        <v>224</v>
      </c>
      <c r="G76" s="3">
        <v>-7.9100000000000004E-2</v>
      </c>
    </row>
    <row r="77" spans="1:7" x14ac:dyDescent="0.25">
      <c r="A77" s="2">
        <v>76</v>
      </c>
      <c r="B77" s="1">
        <v>8.7929999999999993</v>
      </c>
      <c r="C77" s="1">
        <v>8.5429999999999993</v>
      </c>
      <c r="D77" s="1">
        <v>9</v>
      </c>
      <c r="E77" s="1">
        <v>8.15</v>
      </c>
      <c r="F77" s="1" t="s">
        <v>223</v>
      </c>
      <c r="G77" s="3">
        <v>2.93E-2</v>
      </c>
    </row>
    <row r="78" spans="1:7" x14ac:dyDescent="0.25">
      <c r="A78" s="2">
        <v>77</v>
      </c>
      <c r="B78" s="1">
        <v>9.3000000000000007</v>
      </c>
      <c r="C78" s="1">
        <v>8.7899999999999991</v>
      </c>
      <c r="D78" s="1">
        <v>9.4120000000000008</v>
      </c>
      <c r="E78" s="1">
        <v>8.5</v>
      </c>
      <c r="F78" s="1" t="s">
        <v>222</v>
      </c>
      <c r="G78" s="3">
        <v>5.7700000000000001E-2</v>
      </c>
    </row>
    <row r="79" spans="1:7" x14ac:dyDescent="0.25">
      <c r="A79" s="2">
        <v>78</v>
      </c>
      <c r="B79" s="1">
        <v>9.69</v>
      </c>
      <c r="C79" s="1">
        <v>9.3249999999999993</v>
      </c>
      <c r="D79" s="1">
        <v>9.9019999999999992</v>
      </c>
      <c r="E79" s="1">
        <v>9</v>
      </c>
      <c r="F79" s="1" t="s">
        <v>221</v>
      </c>
      <c r="G79" s="3">
        <v>4.19E-2</v>
      </c>
    </row>
    <row r="80" spans="1:7" x14ac:dyDescent="0.25">
      <c r="A80" s="2">
        <v>79</v>
      </c>
      <c r="B80" s="1">
        <v>9.0150000000000006</v>
      </c>
      <c r="C80" s="1">
        <v>9.7479999999999993</v>
      </c>
      <c r="D80" s="1">
        <v>10.087999999999999</v>
      </c>
      <c r="E80" s="1">
        <v>8.6</v>
      </c>
      <c r="F80" s="1" t="s">
        <v>220</v>
      </c>
      <c r="G80" s="3">
        <v>-6.9699999999999998E-2</v>
      </c>
    </row>
    <row r="81" spans="1:7" x14ac:dyDescent="0.25">
      <c r="A81" s="2">
        <v>80</v>
      </c>
      <c r="B81" s="1">
        <v>10.220000000000001</v>
      </c>
      <c r="C81" s="1">
        <v>9.0619999999999994</v>
      </c>
      <c r="D81" s="1">
        <v>10.25</v>
      </c>
      <c r="E81" s="1">
        <v>9.0250000000000004</v>
      </c>
      <c r="F81" s="1" t="s">
        <v>219</v>
      </c>
      <c r="G81" s="3">
        <v>0.13370000000000001</v>
      </c>
    </row>
    <row r="82" spans="1:7" x14ac:dyDescent="0.25">
      <c r="A82" s="2">
        <v>81</v>
      </c>
      <c r="B82" s="1">
        <v>9.9529999999999994</v>
      </c>
      <c r="C82" s="1">
        <v>10.247999999999999</v>
      </c>
      <c r="D82" s="1">
        <v>10.5</v>
      </c>
      <c r="E82" s="1">
        <v>9.25</v>
      </c>
      <c r="F82" s="1" t="s">
        <v>218</v>
      </c>
      <c r="G82" s="3">
        <v>-2.6100000000000002E-2</v>
      </c>
    </row>
    <row r="83" spans="1:7" x14ac:dyDescent="0.25">
      <c r="A83" s="2">
        <v>82</v>
      </c>
      <c r="B83" s="1">
        <v>10.957000000000001</v>
      </c>
      <c r="C83" s="1">
        <v>10.175000000000001</v>
      </c>
      <c r="D83" s="1">
        <v>11</v>
      </c>
      <c r="E83" s="1">
        <v>10.012</v>
      </c>
      <c r="F83" s="1" t="s">
        <v>217</v>
      </c>
      <c r="G83" s="3">
        <v>0.1009</v>
      </c>
    </row>
    <row r="84" spans="1:7" x14ac:dyDescent="0.25">
      <c r="A84" s="2">
        <v>83</v>
      </c>
      <c r="B84" s="1">
        <v>11.252000000000001</v>
      </c>
      <c r="C84" s="1">
        <v>10.96</v>
      </c>
      <c r="D84" s="1">
        <v>11.625</v>
      </c>
      <c r="E84" s="1">
        <v>10.025</v>
      </c>
      <c r="F84" s="1" t="s">
        <v>216</v>
      </c>
      <c r="G84" s="3">
        <v>2.69E-2</v>
      </c>
    </row>
    <row r="85" spans="1:7" x14ac:dyDescent="0.25">
      <c r="A85" s="2">
        <v>84</v>
      </c>
      <c r="B85" s="1">
        <v>12.505000000000001</v>
      </c>
      <c r="C85" s="1">
        <v>11.275</v>
      </c>
      <c r="D85" s="1">
        <v>12.55</v>
      </c>
      <c r="E85" s="1">
        <v>11.125</v>
      </c>
      <c r="F85" s="1" t="s">
        <v>215</v>
      </c>
      <c r="G85" s="3">
        <v>0.1114</v>
      </c>
    </row>
    <row r="86" spans="1:7" x14ac:dyDescent="0.25">
      <c r="A86" s="2">
        <v>85</v>
      </c>
      <c r="B86" s="1">
        <v>11.167999999999999</v>
      </c>
      <c r="C86" s="1">
        <v>12.505000000000001</v>
      </c>
      <c r="D86" s="1">
        <v>12.574999999999999</v>
      </c>
      <c r="E86" s="1">
        <v>10.75</v>
      </c>
      <c r="F86" s="1" t="s">
        <v>214</v>
      </c>
      <c r="G86" s="3">
        <v>-0.1069</v>
      </c>
    </row>
    <row r="87" spans="1:7" x14ac:dyDescent="0.25">
      <c r="A87" s="2">
        <v>86</v>
      </c>
      <c r="B87" s="1">
        <v>12.113</v>
      </c>
      <c r="C87" s="1">
        <v>11.195</v>
      </c>
      <c r="D87" s="1">
        <v>12.324999999999999</v>
      </c>
      <c r="E87" s="1">
        <v>10.025</v>
      </c>
      <c r="F87" s="1" t="s">
        <v>213</v>
      </c>
      <c r="G87" s="3">
        <v>8.4599999999999995E-2</v>
      </c>
    </row>
    <row r="88" spans="1:7" x14ac:dyDescent="0.25">
      <c r="A88" s="2">
        <v>87</v>
      </c>
      <c r="B88" s="1">
        <v>14.632999999999999</v>
      </c>
      <c r="C88" s="1">
        <v>12.113</v>
      </c>
      <c r="D88" s="1">
        <v>15.065</v>
      </c>
      <c r="E88" s="1">
        <v>12.113</v>
      </c>
      <c r="F88" s="1" t="s">
        <v>212</v>
      </c>
      <c r="G88" s="3">
        <v>0.20799999999999999</v>
      </c>
    </row>
    <row r="89" spans="1:7" x14ac:dyDescent="0.25">
      <c r="A89" s="2">
        <v>88</v>
      </c>
      <c r="B89" s="1">
        <v>11.74</v>
      </c>
      <c r="C89" s="1">
        <v>14.632999999999999</v>
      </c>
      <c r="D89" s="1">
        <v>14.747999999999999</v>
      </c>
      <c r="E89" s="1">
        <v>10.89</v>
      </c>
      <c r="F89" s="1" t="s">
        <v>211</v>
      </c>
      <c r="G89" s="3">
        <v>-0.19769999999999999</v>
      </c>
    </row>
    <row r="90" spans="1:7" x14ac:dyDescent="0.25">
      <c r="A90" s="2">
        <v>89</v>
      </c>
      <c r="B90" s="1">
        <v>11.643000000000001</v>
      </c>
      <c r="C90" s="1">
        <v>11.625</v>
      </c>
      <c r="D90" s="1">
        <v>12.15</v>
      </c>
      <c r="E90" s="1">
        <v>10.074999999999999</v>
      </c>
      <c r="F90" s="1" t="s">
        <v>210</v>
      </c>
      <c r="G90" s="3">
        <v>-8.3000000000000001E-3</v>
      </c>
    </row>
    <row r="91" spans="1:7" x14ac:dyDescent="0.25">
      <c r="A91" s="2">
        <v>90</v>
      </c>
      <c r="B91" s="1">
        <v>12.462999999999999</v>
      </c>
      <c r="C91" s="1">
        <v>11.75</v>
      </c>
      <c r="D91" s="1">
        <v>13.175000000000001</v>
      </c>
      <c r="E91" s="1">
        <v>10.87</v>
      </c>
      <c r="F91" s="1" t="s">
        <v>209</v>
      </c>
      <c r="G91" s="3">
        <v>7.0400000000000004E-2</v>
      </c>
    </row>
    <row r="92" spans="1:7" x14ac:dyDescent="0.25">
      <c r="A92" s="2">
        <v>91</v>
      </c>
      <c r="B92" s="1">
        <v>12.71</v>
      </c>
      <c r="C92" s="1">
        <v>12.462999999999999</v>
      </c>
      <c r="D92" s="1">
        <v>12.775</v>
      </c>
      <c r="E92" s="1">
        <v>11.48</v>
      </c>
      <c r="F92" s="1" t="s">
        <v>208</v>
      </c>
      <c r="G92" s="3">
        <v>1.9800000000000002E-2</v>
      </c>
    </row>
    <row r="93" spans="1:7" x14ac:dyDescent="0.25">
      <c r="A93" s="2">
        <v>92</v>
      </c>
      <c r="B93" s="1">
        <v>13.445</v>
      </c>
      <c r="C93" s="1">
        <v>12.75</v>
      </c>
      <c r="D93" s="1">
        <v>13.75</v>
      </c>
      <c r="E93" s="1">
        <v>12.525</v>
      </c>
      <c r="F93" s="1" t="s">
        <v>207</v>
      </c>
      <c r="G93" s="3">
        <v>5.7799999999999997E-2</v>
      </c>
    </row>
    <row r="94" spans="1:7" x14ac:dyDescent="0.25">
      <c r="A94" s="2">
        <v>93</v>
      </c>
      <c r="B94" s="1">
        <v>15.234999999999999</v>
      </c>
      <c r="C94" s="1">
        <v>13.445</v>
      </c>
      <c r="D94" s="1">
        <v>15.297000000000001</v>
      </c>
      <c r="E94" s="1">
        <v>13.375</v>
      </c>
      <c r="F94" s="1" t="s">
        <v>206</v>
      </c>
      <c r="G94" s="3">
        <v>0.1331</v>
      </c>
    </row>
    <row r="95" spans="1:7" x14ac:dyDescent="0.25">
      <c r="A95" s="2">
        <v>94</v>
      </c>
      <c r="B95" s="1">
        <v>16.187999999999999</v>
      </c>
      <c r="C95" s="1">
        <v>15.234999999999999</v>
      </c>
      <c r="D95" s="1">
        <v>16.722999999999999</v>
      </c>
      <c r="E95" s="1">
        <v>15.234999999999999</v>
      </c>
      <c r="F95" s="1" t="s">
        <v>205</v>
      </c>
      <c r="G95" s="3">
        <v>6.2600000000000003E-2</v>
      </c>
    </row>
    <row r="96" spans="1:7" x14ac:dyDescent="0.25">
      <c r="A96" s="2">
        <v>95</v>
      </c>
      <c r="B96" s="1">
        <v>18.292999999999999</v>
      </c>
      <c r="C96" s="1">
        <v>16.2</v>
      </c>
      <c r="D96" s="1">
        <v>18.385000000000002</v>
      </c>
      <c r="E96" s="1">
        <v>16.010000000000002</v>
      </c>
      <c r="F96" s="1" t="s">
        <v>204</v>
      </c>
      <c r="G96" s="3">
        <v>0.13</v>
      </c>
    </row>
    <row r="97" spans="1:7" x14ac:dyDescent="0.25">
      <c r="A97" s="2">
        <v>96</v>
      </c>
      <c r="B97" s="1">
        <v>18.462</v>
      </c>
      <c r="C97" s="1">
        <v>18.337</v>
      </c>
      <c r="D97" s="1">
        <v>19</v>
      </c>
      <c r="E97" s="1">
        <v>17.538</v>
      </c>
      <c r="F97" s="1" t="s">
        <v>203</v>
      </c>
      <c r="G97" s="3">
        <v>9.1999999999999998E-3</v>
      </c>
    </row>
    <row r="98" spans="1:7" x14ac:dyDescent="0.25">
      <c r="A98" s="2">
        <v>97</v>
      </c>
      <c r="B98" s="1">
        <v>17.587</v>
      </c>
      <c r="C98" s="1">
        <v>18.5</v>
      </c>
      <c r="D98" s="1">
        <v>20.3</v>
      </c>
      <c r="E98" s="1">
        <v>17.5</v>
      </c>
      <c r="F98" s="1" t="s">
        <v>202</v>
      </c>
      <c r="G98" s="3">
        <v>-4.7399999999999998E-2</v>
      </c>
    </row>
    <row r="99" spans="1:7" x14ac:dyDescent="0.25">
      <c r="A99" s="2">
        <v>98</v>
      </c>
      <c r="B99" s="1">
        <v>19.02</v>
      </c>
      <c r="C99" s="1">
        <v>17.25</v>
      </c>
      <c r="D99" s="1">
        <v>19.29</v>
      </c>
      <c r="E99" s="1">
        <v>16.03</v>
      </c>
      <c r="F99" s="1" t="s">
        <v>201</v>
      </c>
      <c r="G99" s="3">
        <v>8.1500000000000003E-2</v>
      </c>
    </row>
    <row r="100" spans="1:7" x14ac:dyDescent="0.25">
      <c r="A100" s="2">
        <v>99</v>
      </c>
      <c r="B100" s="1">
        <v>17.940000000000001</v>
      </c>
      <c r="C100" s="1">
        <v>19.02</v>
      </c>
      <c r="D100" s="1">
        <v>19.899999999999999</v>
      </c>
      <c r="E100" s="1">
        <v>17.010000000000002</v>
      </c>
      <c r="F100" s="1" t="s">
        <v>200</v>
      </c>
      <c r="G100" s="3">
        <v>-5.6800000000000003E-2</v>
      </c>
    </row>
    <row r="101" spans="1:7" x14ac:dyDescent="0.25">
      <c r="A101" s="2">
        <v>100</v>
      </c>
      <c r="B101" s="1">
        <v>17.25</v>
      </c>
      <c r="C101" s="1">
        <v>17.899999999999999</v>
      </c>
      <c r="D101" s="1">
        <v>18.8</v>
      </c>
      <c r="E101" s="1">
        <v>17.11</v>
      </c>
      <c r="F101" s="1" t="s">
        <v>199</v>
      </c>
      <c r="G101" s="3">
        <v>-3.85E-2</v>
      </c>
    </row>
    <row r="102" spans="1:7" x14ac:dyDescent="0.25">
      <c r="A102" s="2">
        <v>101</v>
      </c>
      <c r="B102" s="1">
        <v>17.48</v>
      </c>
      <c r="C102" s="1">
        <v>17.350000000000001</v>
      </c>
      <c r="D102" s="1">
        <v>18.3</v>
      </c>
      <c r="E102" s="1">
        <v>17</v>
      </c>
      <c r="F102" s="1" t="s">
        <v>198</v>
      </c>
      <c r="G102" s="3">
        <v>1.3299999999999999E-2</v>
      </c>
    </row>
    <row r="103" spans="1:7" x14ac:dyDescent="0.25">
      <c r="A103" s="2">
        <v>102</v>
      </c>
      <c r="B103" s="1">
        <v>16.16</v>
      </c>
      <c r="C103" s="1">
        <v>17.5</v>
      </c>
      <c r="D103" s="1">
        <v>19.260000000000002</v>
      </c>
      <c r="E103" s="1">
        <v>15.22</v>
      </c>
      <c r="F103" s="1" t="s">
        <v>197</v>
      </c>
      <c r="G103" s="3">
        <v>-7.5499999999999998E-2</v>
      </c>
    </row>
    <row r="104" spans="1:7" x14ac:dyDescent="0.25">
      <c r="A104" s="2">
        <v>103</v>
      </c>
      <c r="B104" s="1">
        <v>16.84</v>
      </c>
      <c r="C104" s="1">
        <v>15.9</v>
      </c>
      <c r="D104" s="1">
        <v>17</v>
      </c>
      <c r="E104" s="1">
        <v>13.95</v>
      </c>
      <c r="F104" s="1" t="s">
        <v>196</v>
      </c>
      <c r="G104" s="3">
        <v>4.2099999999999999E-2</v>
      </c>
    </row>
    <row r="105" spans="1:7" x14ac:dyDescent="0.25">
      <c r="A105" s="2">
        <v>104</v>
      </c>
      <c r="B105" s="1">
        <v>14.76</v>
      </c>
      <c r="C105" s="1">
        <v>17</v>
      </c>
      <c r="D105" s="1">
        <v>17</v>
      </c>
      <c r="E105" s="1">
        <v>14.31</v>
      </c>
      <c r="F105" s="1" t="s">
        <v>195</v>
      </c>
      <c r="G105" s="3">
        <v>-0.1235</v>
      </c>
    </row>
    <row r="106" spans="1:7" x14ac:dyDescent="0.25">
      <c r="A106" s="2">
        <v>105</v>
      </c>
      <c r="B106" s="1">
        <v>12</v>
      </c>
      <c r="C106" s="1">
        <v>14.76</v>
      </c>
      <c r="D106" s="1">
        <v>15.44</v>
      </c>
      <c r="E106" s="1">
        <v>11.8</v>
      </c>
      <c r="F106" s="1" t="s">
        <v>194</v>
      </c>
      <c r="G106" s="3">
        <v>-0.187</v>
      </c>
    </row>
    <row r="107" spans="1:7" x14ac:dyDescent="0.25">
      <c r="A107" s="2">
        <v>106</v>
      </c>
      <c r="B107" s="1">
        <v>10.57</v>
      </c>
      <c r="C107" s="1">
        <v>11.95</v>
      </c>
      <c r="D107" s="1">
        <v>12.09</v>
      </c>
      <c r="E107" s="1">
        <v>10.26</v>
      </c>
      <c r="F107" s="1" t="s">
        <v>193</v>
      </c>
      <c r="G107" s="3">
        <v>-0.1192</v>
      </c>
    </row>
    <row r="108" spans="1:7" x14ac:dyDescent="0.25">
      <c r="A108" s="2">
        <v>107</v>
      </c>
      <c r="B108" s="1">
        <v>11.96</v>
      </c>
      <c r="C108" s="1">
        <v>10.74</v>
      </c>
      <c r="D108" s="1">
        <v>12.35</v>
      </c>
      <c r="E108" s="1">
        <v>10.51</v>
      </c>
      <c r="F108" s="1" t="s">
        <v>192</v>
      </c>
      <c r="G108" s="3">
        <v>0.13150000000000001</v>
      </c>
    </row>
    <row r="109" spans="1:7" x14ac:dyDescent="0.25">
      <c r="A109" s="2">
        <v>108</v>
      </c>
      <c r="B109" s="1">
        <v>11.65</v>
      </c>
      <c r="C109" s="1">
        <v>12.1</v>
      </c>
      <c r="D109" s="1">
        <v>12.1</v>
      </c>
      <c r="E109" s="1">
        <v>9.9</v>
      </c>
      <c r="F109" s="1" t="s">
        <v>191</v>
      </c>
      <c r="G109" s="3">
        <v>-2.5899999999999999E-2</v>
      </c>
    </row>
    <row r="110" spans="1:7" x14ac:dyDescent="0.25">
      <c r="A110" s="2">
        <v>109</v>
      </c>
      <c r="B110" s="1">
        <v>11.13</v>
      </c>
      <c r="C110" s="1">
        <v>11.8</v>
      </c>
      <c r="D110" s="1">
        <v>12.98</v>
      </c>
      <c r="E110" s="1">
        <v>11.06</v>
      </c>
      <c r="F110" s="1" t="s">
        <v>190</v>
      </c>
      <c r="G110" s="3">
        <v>-4.4600000000000001E-2</v>
      </c>
    </row>
    <row r="111" spans="1:7" x14ac:dyDescent="0.25">
      <c r="A111" s="2">
        <v>110</v>
      </c>
      <c r="B111" s="1">
        <v>10.84</v>
      </c>
      <c r="C111" s="1">
        <v>11.1</v>
      </c>
      <c r="D111" s="1">
        <v>11.35</v>
      </c>
      <c r="E111" s="1">
        <v>10.27</v>
      </c>
      <c r="F111" s="1" t="s">
        <v>189</v>
      </c>
      <c r="G111" s="3">
        <v>-2.6100000000000002E-2</v>
      </c>
    </row>
    <row r="112" spans="1:7" x14ac:dyDescent="0.25">
      <c r="A112" s="2">
        <v>111</v>
      </c>
      <c r="B112" s="1">
        <v>10.99</v>
      </c>
      <c r="C112" s="1">
        <v>10.84</v>
      </c>
      <c r="D112" s="1">
        <v>12.38</v>
      </c>
      <c r="E112" s="1">
        <v>10.84</v>
      </c>
      <c r="F112" s="1" t="s">
        <v>188</v>
      </c>
      <c r="G112" s="3">
        <v>1.38E-2</v>
      </c>
    </row>
    <row r="113" spans="1:7" x14ac:dyDescent="0.25">
      <c r="A113" s="2">
        <v>112</v>
      </c>
      <c r="B113" s="1">
        <v>11.47</v>
      </c>
      <c r="C113" s="1">
        <v>11.07</v>
      </c>
      <c r="D113" s="1">
        <v>11.84</v>
      </c>
      <c r="E113" s="1">
        <v>10.97</v>
      </c>
      <c r="F113" s="1" t="s">
        <v>187</v>
      </c>
      <c r="G113" s="3">
        <v>4.3700000000000003E-2</v>
      </c>
    </row>
    <row r="114" spans="1:7" x14ac:dyDescent="0.25">
      <c r="A114" s="2">
        <v>113</v>
      </c>
      <c r="B114" s="1">
        <v>9.52</v>
      </c>
      <c r="C114" s="1">
        <v>11.5</v>
      </c>
      <c r="D114" s="1">
        <v>11.6</v>
      </c>
      <c r="E114" s="1">
        <v>9.5</v>
      </c>
      <c r="F114" s="1" t="s">
        <v>186</v>
      </c>
      <c r="G114" s="3">
        <v>-0.17</v>
      </c>
    </row>
    <row r="115" spans="1:7" x14ac:dyDescent="0.25">
      <c r="A115" s="2">
        <v>114</v>
      </c>
      <c r="B115" s="1">
        <v>8.34</v>
      </c>
      <c r="C115" s="1">
        <v>9.51</v>
      </c>
      <c r="D115" s="1">
        <v>9.89</v>
      </c>
      <c r="E115" s="1">
        <v>7.55</v>
      </c>
      <c r="F115" s="1" t="s">
        <v>185</v>
      </c>
      <c r="G115" s="3">
        <v>-0.1239</v>
      </c>
    </row>
    <row r="116" spans="1:7" x14ac:dyDescent="0.25">
      <c r="A116" s="2">
        <v>115</v>
      </c>
      <c r="B116" s="1">
        <v>8.11</v>
      </c>
      <c r="C116" s="1">
        <v>8.07</v>
      </c>
      <c r="D116" s="1">
        <v>8.6</v>
      </c>
      <c r="E116" s="1">
        <v>7.5</v>
      </c>
      <c r="F116" s="1" t="s">
        <v>184</v>
      </c>
      <c r="G116" s="3">
        <v>-2.76E-2</v>
      </c>
    </row>
    <row r="117" spans="1:7" x14ac:dyDescent="0.25">
      <c r="A117" s="2">
        <v>116</v>
      </c>
      <c r="B117" s="1">
        <v>6.07</v>
      </c>
      <c r="C117" s="1">
        <v>8.16</v>
      </c>
      <c r="D117" s="1">
        <v>8.1999999999999993</v>
      </c>
      <c r="E117" s="1">
        <v>5.9</v>
      </c>
      <c r="F117" s="1" t="s">
        <v>183</v>
      </c>
      <c r="G117" s="3">
        <v>-0.2515</v>
      </c>
    </row>
    <row r="118" spans="1:7" x14ac:dyDescent="0.25">
      <c r="A118" s="2">
        <v>117</v>
      </c>
      <c r="B118" s="1">
        <v>5.21</v>
      </c>
      <c r="C118" s="1">
        <v>6</v>
      </c>
      <c r="D118" s="1">
        <v>6.4</v>
      </c>
      <c r="E118" s="1">
        <v>3.05</v>
      </c>
      <c r="F118" s="1" t="s">
        <v>182</v>
      </c>
      <c r="G118" s="3">
        <v>-0.14169999999999999</v>
      </c>
    </row>
    <row r="119" spans="1:7" x14ac:dyDescent="0.25">
      <c r="A119" s="2">
        <v>118</v>
      </c>
      <c r="B119" s="1">
        <v>4.6900000000000004</v>
      </c>
      <c r="C119" s="1">
        <v>5.44</v>
      </c>
      <c r="D119" s="1">
        <v>5.48</v>
      </c>
      <c r="E119" s="1">
        <v>4.2</v>
      </c>
      <c r="F119" s="1" t="s">
        <v>181</v>
      </c>
      <c r="G119" s="3">
        <v>-9.98E-2</v>
      </c>
    </row>
    <row r="120" spans="1:7" x14ac:dyDescent="0.25">
      <c r="A120" s="2">
        <v>119</v>
      </c>
      <c r="B120" s="1">
        <v>5.36</v>
      </c>
      <c r="C120" s="1">
        <v>4.7</v>
      </c>
      <c r="D120" s="1">
        <v>5.71</v>
      </c>
      <c r="E120" s="1">
        <v>4.5</v>
      </c>
      <c r="F120" s="1" t="s">
        <v>180</v>
      </c>
      <c r="G120" s="3">
        <v>0.1429</v>
      </c>
    </row>
    <row r="121" spans="1:7" x14ac:dyDescent="0.25">
      <c r="A121" s="2">
        <v>120</v>
      </c>
      <c r="B121" s="1">
        <v>3.61</v>
      </c>
      <c r="C121" s="1">
        <v>5.36</v>
      </c>
      <c r="D121" s="1">
        <v>5.6</v>
      </c>
      <c r="E121" s="1">
        <v>3.51</v>
      </c>
      <c r="F121" s="1" t="s">
        <v>179</v>
      </c>
      <c r="G121" s="3">
        <v>-0.32650000000000001</v>
      </c>
    </row>
    <row r="122" spans="1:7" x14ac:dyDescent="0.25">
      <c r="A122" s="2">
        <v>121</v>
      </c>
      <c r="B122" s="1">
        <v>3.75</v>
      </c>
      <c r="C122" s="1">
        <v>3.69</v>
      </c>
      <c r="D122" s="1">
        <v>4.1900000000000004</v>
      </c>
      <c r="E122" s="1">
        <v>3.51</v>
      </c>
      <c r="F122" s="1" t="s">
        <v>178</v>
      </c>
      <c r="G122" s="3">
        <v>3.8800000000000001E-2</v>
      </c>
    </row>
    <row r="123" spans="1:7" x14ac:dyDescent="0.25">
      <c r="A123" s="2">
        <v>122</v>
      </c>
      <c r="B123" s="1">
        <v>3.74</v>
      </c>
      <c r="C123" s="1">
        <v>3.75</v>
      </c>
      <c r="D123" s="1">
        <v>3.99</v>
      </c>
      <c r="E123" s="1">
        <v>3.3</v>
      </c>
      <c r="F123" s="1" t="s">
        <v>177</v>
      </c>
      <c r="G123" s="3">
        <v>-2.7000000000000001E-3</v>
      </c>
    </row>
    <row r="124" spans="1:7" x14ac:dyDescent="0.25">
      <c r="A124" s="2">
        <v>123</v>
      </c>
      <c r="B124" s="1">
        <v>4.24</v>
      </c>
      <c r="C124" s="1">
        <v>3.7</v>
      </c>
      <c r="D124" s="1">
        <v>4.6399999999999997</v>
      </c>
      <c r="E124" s="1">
        <v>3.6</v>
      </c>
      <c r="F124" s="1" t="s">
        <v>176</v>
      </c>
      <c r="G124" s="3">
        <v>0.13370000000000001</v>
      </c>
    </row>
    <row r="125" spans="1:7" x14ac:dyDescent="0.25">
      <c r="A125" s="2">
        <v>124</v>
      </c>
      <c r="B125" s="1">
        <v>6.09</v>
      </c>
      <c r="C125" s="1">
        <v>4.3499999999999996</v>
      </c>
      <c r="D125" s="1">
        <v>6.3</v>
      </c>
      <c r="E125" s="1">
        <v>4.25</v>
      </c>
      <c r="F125" s="1" t="s">
        <v>175</v>
      </c>
      <c r="G125" s="3">
        <v>0.43630000000000002</v>
      </c>
    </row>
    <row r="126" spans="1:7" x14ac:dyDescent="0.25">
      <c r="A126" s="2">
        <v>125</v>
      </c>
      <c r="B126" s="1">
        <v>5.7</v>
      </c>
      <c r="C126" s="1">
        <v>6.29</v>
      </c>
      <c r="D126" s="1">
        <v>6.3</v>
      </c>
      <c r="E126" s="1">
        <v>5.44</v>
      </c>
      <c r="F126" s="1" t="s">
        <v>174</v>
      </c>
      <c r="G126" s="3">
        <v>-6.4000000000000001E-2</v>
      </c>
    </row>
    <row r="127" spans="1:7" x14ac:dyDescent="0.25">
      <c r="A127" s="2">
        <v>126</v>
      </c>
      <c r="B127" s="1">
        <v>6.74</v>
      </c>
      <c r="C127" s="1">
        <v>5.74</v>
      </c>
      <c r="D127" s="1">
        <v>6.78</v>
      </c>
      <c r="E127" s="1">
        <v>4.95</v>
      </c>
      <c r="F127" s="1" t="s">
        <v>173</v>
      </c>
      <c r="G127" s="3">
        <v>0.1825</v>
      </c>
    </row>
    <row r="128" spans="1:7" x14ac:dyDescent="0.25">
      <c r="A128" s="2">
        <v>127</v>
      </c>
      <c r="B128" s="1">
        <v>7.68</v>
      </c>
      <c r="C128" s="1">
        <v>6.76</v>
      </c>
      <c r="D128" s="1">
        <v>8.3000000000000007</v>
      </c>
      <c r="E128" s="1">
        <v>6.76</v>
      </c>
      <c r="F128" s="1" t="s">
        <v>172</v>
      </c>
      <c r="G128" s="3">
        <v>0.13950000000000001</v>
      </c>
    </row>
    <row r="129" spans="1:7" x14ac:dyDescent="0.25">
      <c r="A129" s="2">
        <v>128</v>
      </c>
      <c r="B129" s="1">
        <v>8.09</v>
      </c>
      <c r="C129" s="1">
        <v>7.67</v>
      </c>
      <c r="D129" s="1">
        <v>8.98</v>
      </c>
      <c r="E129" s="1">
        <v>7.5</v>
      </c>
      <c r="F129" s="1" t="s">
        <v>171</v>
      </c>
      <c r="G129" s="3">
        <v>5.3400000000000003E-2</v>
      </c>
    </row>
    <row r="130" spans="1:7" x14ac:dyDescent="0.25">
      <c r="A130" s="2">
        <v>129</v>
      </c>
      <c r="B130" s="1">
        <v>8.2899999999999991</v>
      </c>
      <c r="C130" s="1">
        <v>8.01</v>
      </c>
      <c r="D130" s="1">
        <v>9.9499999999999993</v>
      </c>
      <c r="E130" s="1">
        <v>7.56</v>
      </c>
      <c r="F130" s="1" t="s">
        <v>170</v>
      </c>
      <c r="G130" s="3">
        <v>2.47E-2</v>
      </c>
    </row>
    <row r="131" spans="1:7" x14ac:dyDescent="0.25">
      <c r="A131" s="2">
        <v>130</v>
      </c>
      <c r="B131" s="1">
        <v>9.2899999999999991</v>
      </c>
      <c r="C131" s="1">
        <v>8.35</v>
      </c>
      <c r="D131" s="1">
        <v>9.41</v>
      </c>
      <c r="E131" s="1">
        <v>8.15</v>
      </c>
      <c r="F131" s="1" t="s">
        <v>169</v>
      </c>
      <c r="G131" s="3">
        <v>0.1206</v>
      </c>
    </row>
    <row r="132" spans="1:7" x14ac:dyDescent="0.25">
      <c r="A132" s="2">
        <v>131</v>
      </c>
      <c r="B132" s="1">
        <v>9.11</v>
      </c>
      <c r="C132" s="1">
        <v>9.36</v>
      </c>
      <c r="D132" s="1">
        <v>9.59</v>
      </c>
      <c r="E132" s="1">
        <v>8.85</v>
      </c>
      <c r="F132" s="1" t="s">
        <v>168</v>
      </c>
      <c r="G132" s="3">
        <v>-1.9400000000000001E-2</v>
      </c>
    </row>
    <row r="133" spans="1:7" x14ac:dyDescent="0.25">
      <c r="A133" s="2">
        <v>132</v>
      </c>
      <c r="B133" s="1">
        <v>8.52</v>
      </c>
      <c r="C133" s="1">
        <v>9.1300000000000008</v>
      </c>
      <c r="D133" s="1">
        <v>9.3000000000000007</v>
      </c>
      <c r="E133" s="1">
        <v>8.2100000000000009</v>
      </c>
      <c r="F133" s="1" t="s">
        <v>167</v>
      </c>
      <c r="G133" s="3">
        <v>-6.4799999999999996E-2</v>
      </c>
    </row>
    <row r="134" spans="1:7" x14ac:dyDescent="0.25">
      <c r="A134" s="2">
        <v>133</v>
      </c>
      <c r="B134" s="1">
        <v>8.69</v>
      </c>
      <c r="C134" s="1">
        <v>8.6</v>
      </c>
      <c r="D134" s="1">
        <v>8.9499999999999993</v>
      </c>
      <c r="E134" s="1">
        <v>8.3000000000000007</v>
      </c>
      <c r="F134" s="1" t="s">
        <v>166</v>
      </c>
      <c r="G134" s="3">
        <v>0.02</v>
      </c>
    </row>
    <row r="135" spans="1:7" x14ac:dyDescent="0.25">
      <c r="A135" s="2">
        <v>134</v>
      </c>
      <c r="B135" s="1">
        <v>8.31</v>
      </c>
      <c r="C135" s="1">
        <v>8.69</v>
      </c>
      <c r="D135" s="1">
        <v>8.75</v>
      </c>
      <c r="E135" s="1">
        <v>8</v>
      </c>
      <c r="F135" s="1" t="s">
        <v>165</v>
      </c>
      <c r="G135" s="3">
        <v>-4.3700000000000003E-2</v>
      </c>
    </row>
    <row r="136" spans="1:7" x14ac:dyDescent="0.25">
      <c r="A136" s="2">
        <v>135</v>
      </c>
      <c r="B136" s="1">
        <v>8.4600000000000009</v>
      </c>
      <c r="C136" s="1">
        <v>8.31</v>
      </c>
      <c r="D136" s="1">
        <v>8.85</v>
      </c>
      <c r="E136" s="1">
        <v>8.25</v>
      </c>
      <c r="F136" s="1" t="s">
        <v>164</v>
      </c>
      <c r="G136" s="3">
        <v>1.8100000000000002E-2</v>
      </c>
    </row>
    <row r="137" spans="1:7" x14ac:dyDescent="0.25">
      <c r="A137" s="2">
        <v>136</v>
      </c>
      <c r="B137" s="1">
        <v>8.1</v>
      </c>
      <c r="C137" s="1">
        <v>8.35</v>
      </c>
      <c r="D137" s="1">
        <v>8.49</v>
      </c>
      <c r="E137" s="1">
        <v>7.2</v>
      </c>
      <c r="F137" s="1" t="s">
        <v>163</v>
      </c>
      <c r="G137" s="3">
        <v>-4.2599999999999999E-2</v>
      </c>
    </row>
    <row r="138" spans="1:7" x14ac:dyDescent="0.25">
      <c r="A138" s="2">
        <v>137</v>
      </c>
      <c r="B138" s="1">
        <v>7.77</v>
      </c>
      <c r="C138" s="1">
        <v>7.91</v>
      </c>
      <c r="D138" s="1">
        <v>8.1199999999999992</v>
      </c>
      <c r="E138" s="1">
        <v>7.7</v>
      </c>
      <c r="F138" s="1" t="s">
        <v>162</v>
      </c>
      <c r="G138" s="3">
        <v>-4.07E-2</v>
      </c>
    </row>
    <row r="139" spans="1:7" x14ac:dyDescent="0.25">
      <c r="A139" s="2">
        <v>138</v>
      </c>
      <c r="B139" s="1">
        <v>8.31</v>
      </c>
      <c r="C139" s="1">
        <v>7.77</v>
      </c>
      <c r="D139" s="1">
        <v>8.4</v>
      </c>
      <c r="E139" s="1">
        <v>7.41</v>
      </c>
      <c r="F139" s="1" t="s">
        <v>161</v>
      </c>
      <c r="G139" s="3">
        <v>6.9500000000000006E-2</v>
      </c>
    </row>
    <row r="140" spans="1:7" x14ac:dyDescent="0.25">
      <c r="A140" s="2">
        <v>139</v>
      </c>
      <c r="B140" s="1">
        <v>7.61</v>
      </c>
      <c r="C140" s="1">
        <v>8.3000000000000007</v>
      </c>
      <c r="D140" s="1">
        <v>8.4</v>
      </c>
      <c r="E140" s="1">
        <v>7.36</v>
      </c>
      <c r="F140" s="1" t="s">
        <v>160</v>
      </c>
      <c r="G140" s="3">
        <v>-8.4199999999999997E-2</v>
      </c>
    </row>
    <row r="141" spans="1:7" x14ac:dyDescent="0.25">
      <c r="A141" s="2">
        <v>140</v>
      </c>
      <c r="B141" s="1">
        <v>8.15</v>
      </c>
      <c r="C141" s="1">
        <v>7.67</v>
      </c>
      <c r="D141" s="1">
        <v>8.25</v>
      </c>
      <c r="E141" s="1">
        <v>7.55</v>
      </c>
      <c r="F141" s="1" t="s">
        <v>159</v>
      </c>
      <c r="G141" s="3">
        <v>7.0999999999999994E-2</v>
      </c>
    </row>
    <row r="142" spans="1:7" x14ac:dyDescent="0.25">
      <c r="A142" s="2">
        <v>141</v>
      </c>
      <c r="B142" s="1">
        <v>7.81</v>
      </c>
      <c r="C142" s="1">
        <v>8.15</v>
      </c>
      <c r="D142" s="1">
        <v>8.35</v>
      </c>
      <c r="E142" s="1">
        <v>7.34</v>
      </c>
      <c r="F142" s="1" t="s">
        <v>158</v>
      </c>
      <c r="G142" s="3">
        <v>-4.1700000000000001E-2</v>
      </c>
    </row>
    <row r="143" spans="1:7" x14ac:dyDescent="0.25">
      <c r="A143" s="2">
        <v>142</v>
      </c>
      <c r="B143" s="1">
        <v>7.7</v>
      </c>
      <c r="C143" s="1">
        <v>7.87</v>
      </c>
      <c r="D143" s="1">
        <v>8</v>
      </c>
      <c r="E143" s="1">
        <v>7.41</v>
      </c>
      <c r="F143" s="1" t="s">
        <v>157</v>
      </c>
      <c r="G143" s="3">
        <v>-1.41E-2</v>
      </c>
    </row>
    <row r="144" spans="1:7" x14ac:dyDescent="0.25">
      <c r="A144" s="2">
        <v>143</v>
      </c>
      <c r="B144" s="1">
        <v>7.64</v>
      </c>
      <c r="C144" s="1">
        <v>7.75</v>
      </c>
      <c r="D144" s="1">
        <v>7.8</v>
      </c>
      <c r="E144" s="1">
        <v>7.5</v>
      </c>
      <c r="F144" s="1" t="s">
        <v>156</v>
      </c>
      <c r="G144" s="3">
        <v>-7.7999999999999996E-3</v>
      </c>
    </row>
    <row r="145" spans="1:7" x14ac:dyDescent="0.25">
      <c r="A145" s="2">
        <v>144</v>
      </c>
      <c r="B145" s="1">
        <v>7.67</v>
      </c>
      <c r="C145" s="1">
        <v>7.65</v>
      </c>
      <c r="D145" s="1">
        <v>7.85</v>
      </c>
      <c r="E145" s="1">
        <v>7.2</v>
      </c>
      <c r="F145" s="1" t="s">
        <v>155</v>
      </c>
      <c r="G145" s="3">
        <v>3.8999999999999998E-3</v>
      </c>
    </row>
    <row r="146" spans="1:7" x14ac:dyDescent="0.25">
      <c r="A146" s="2">
        <v>145</v>
      </c>
      <c r="B146" s="1">
        <v>7.05</v>
      </c>
      <c r="C146" s="1">
        <v>7.65</v>
      </c>
      <c r="D146" s="1">
        <v>7.92</v>
      </c>
      <c r="E146" s="1">
        <v>7.01</v>
      </c>
      <c r="F146" s="1" t="s">
        <v>154</v>
      </c>
      <c r="G146" s="3">
        <v>-8.0799999999999997E-2</v>
      </c>
    </row>
    <row r="147" spans="1:7" x14ac:dyDescent="0.25">
      <c r="A147" s="2">
        <v>146</v>
      </c>
      <c r="B147" s="1">
        <v>7.27</v>
      </c>
      <c r="C147" s="1">
        <v>7.08</v>
      </c>
      <c r="D147" s="1">
        <v>7.34</v>
      </c>
      <c r="E147" s="1">
        <v>6.33</v>
      </c>
      <c r="F147" s="1" t="s">
        <v>153</v>
      </c>
      <c r="G147" s="3">
        <v>3.1199999999999999E-2</v>
      </c>
    </row>
    <row r="148" spans="1:7" x14ac:dyDescent="0.25">
      <c r="A148" s="2">
        <v>147</v>
      </c>
      <c r="B148" s="1">
        <v>6.84</v>
      </c>
      <c r="C148" s="1">
        <v>7.27</v>
      </c>
      <c r="D148" s="1">
        <v>7.57</v>
      </c>
      <c r="E148" s="1">
        <v>6.8</v>
      </c>
      <c r="F148" s="1" t="s">
        <v>152</v>
      </c>
      <c r="G148" s="3">
        <v>-5.91E-2</v>
      </c>
    </row>
    <row r="149" spans="1:7" x14ac:dyDescent="0.25">
      <c r="A149" s="2">
        <v>148</v>
      </c>
      <c r="B149" s="1">
        <v>6.39</v>
      </c>
      <c r="C149" s="1">
        <v>6.94</v>
      </c>
      <c r="D149" s="1">
        <v>6.98</v>
      </c>
      <c r="E149" s="1">
        <v>6.16</v>
      </c>
      <c r="F149" s="1" t="s">
        <v>151</v>
      </c>
      <c r="G149" s="3">
        <v>-6.5799999999999997E-2</v>
      </c>
    </row>
    <row r="150" spans="1:7" x14ac:dyDescent="0.25">
      <c r="A150" s="2">
        <v>149</v>
      </c>
      <c r="B150" s="1">
        <v>5.9</v>
      </c>
      <c r="C150" s="1">
        <v>6.5</v>
      </c>
      <c r="D150" s="1">
        <v>6.5</v>
      </c>
      <c r="E150" s="1">
        <v>5.59</v>
      </c>
      <c r="F150" s="1" t="s">
        <v>150</v>
      </c>
      <c r="G150" s="3">
        <v>-7.6700000000000004E-2</v>
      </c>
    </row>
    <row r="151" spans="1:7" x14ac:dyDescent="0.25">
      <c r="A151" s="2">
        <v>150</v>
      </c>
      <c r="B151" s="1">
        <v>6.16</v>
      </c>
      <c r="C151" s="1">
        <v>5.95</v>
      </c>
      <c r="D151" s="1">
        <v>6.42</v>
      </c>
      <c r="E151" s="1">
        <v>5.46</v>
      </c>
      <c r="F151" s="1" t="s">
        <v>149</v>
      </c>
      <c r="G151" s="3">
        <v>4.41E-2</v>
      </c>
    </row>
    <row r="152" spans="1:7" x14ac:dyDescent="0.25">
      <c r="A152" s="2">
        <v>151</v>
      </c>
      <c r="B152" s="1">
        <v>5.05</v>
      </c>
      <c r="C152" s="1">
        <v>6.3</v>
      </c>
      <c r="D152" s="1">
        <v>6.35</v>
      </c>
      <c r="E152" s="1">
        <v>4.8099999999999996</v>
      </c>
      <c r="F152" s="1" t="s">
        <v>148</v>
      </c>
      <c r="G152" s="3">
        <v>-0.1802</v>
      </c>
    </row>
    <row r="153" spans="1:7" x14ac:dyDescent="0.25">
      <c r="A153" s="2">
        <v>152</v>
      </c>
      <c r="B153" s="1">
        <v>3.95</v>
      </c>
      <c r="C153" s="1">
        <v>5.0999999999999996</v>
      </c>
      <c r="D153" s="1">
        <v>5.18</v>
      </c>
      <c r="E153" s="1">
        <v>3.75</v>
      </c>
      <c r="F153" s="1" t="s">
        <v>147</v>
      </c>
      <c r="G153" s="3">
        <v>-0.21779999999999999</v>
      </c>
    </row>
    <row r="154" spans="1:7" x14ac:dyDescent="0.25">
      <c r="A154" s="2">
        <v>153</v>
      </c>
      <c r="B154" s="1">
        <v>3.65</v>
      </c>
      <c r="C154" s="1">
        <v>4</v>
      </c>
      <c r="D154" s="1">
        <v>4.28</v>
      </c>
      <c r="E154" s="1">
        <v>3.5</v>
      </c>
      <c r="F154" s="1" t="s">
        <v>146</v>
      </c>
      <c r="G154" s="3">
        <v>-7.5899999999999995E-2</v>
      </c>
    </row>
    <row r="155" spans="1:7" x14ac:dyDescent="0.25">
      <c r="A155" s="2">
        <v>154</v>
      </c>
      <c r="B155" s="1">
        <v>3.84</v>
      </c>
      <c r="C155" s="1">
        <v>3.65</v>
      </c>
      <c r="D155" s="1">
        <v>4.2699999999999996</v>
      </c>
      <c r="E155" s="1">
        <v>3.53</v>
      </c>
      <c r="F155" s="1" t="s">
        <v>145</v>
      </c>
      <c r="G155" s="3">
        <v>5.21E-2</v>
      </c>
    </row>
    <row r="156" spans="1:7" x14ac:dyDescent="0.25">
      <c r="A156" s="2">
        <v>155</v>
      </c>
      <c r="B156" s="1">
        <v>3.9</v>
      </c>
      <c r="C156" s="1">
        <v>3.84</v>
      </c>
      <c r="D156" s="1">
        <v>3.98</v>
      </c>
      <c r="E156" s="1">
        <v>3.6</v>
      </c>
      <c r="F156" s="1" t="s">
        <v>144</v>
      </c>
      <c r="G156" s="3">
        <v>1.5599999999999999E-2</v>
      </c>
    </row>
    <row r="157" spans="1:7" x14ac:dyDescent="0.25">
      <c r="A157" s="2">
        <v>156</v>
      </c>
      <c r="B157" s="1">
        <v>4.42</v>
      </c>
      <c r="C157" s="1">
        <v>3.91</v>
      </c>
      <c r="D157" s="1">
        <v>4.51</v>
      </c>
      <c r="E157" s="1">
        <v>3.9</v>
      </c>
      <c r="F157" s="1" t="s">
        <v>143</v>
      </c>
      <c r="G157" s="3">
        <v>0.1333</v>
      </c>
    </row>
    <row r="158" spans="1:7" x14ac:dyDescent="0.25">
      <c r="A158" s="2">
        <v>157</v>
      </c>
      <c r="B158" s="1">
        <v>4.09</v>
      </c>
      <c r="C158" s="1">
        <v>4.42</v>
      </c>
      <c r="D158" s="1">
        <v>4.75</v>
      </c>
      <c r="E158" s="1">
        <v>4</v>
      </c>
      <c r="F158" s="1" t="s">
        <v>142</v>
      </c>
      <c r="G158" s="3">
        <v>-7.4700000000000003E-2</v>
      </c>
    </row>
    <row r="159" spans="1:7" x14ac:dyDescent="0.25">
      <c r="A159" s="2">
        <v>158</v>
      </c>
      <c r="B159" s="1">
        <v>4.32</v>
      </c>
      <c r="C159" s="1">
        <v>4.1900000000000004</v>
      </c>
      <c r="D159" s="1">
        <v>4.43</v>
      </c>
      <c r="E159" s="1">
        <v>4</v>
      </c>
      <c r="F159" s="1" t="s">
        <v>141</v>
      </c>
      <c r="G159" s="3">
        <v>5.62E-2</v>
      </c>
    </row>
    <row r="160" spans="1:7" x14ac:dyDescent="0.25">
      <c r="A160" s="2">
        <v>159</v>
      </c>
      <c r="B160" s="1">
        <v>4.13</v>
      </c>
      <c r="C160" s="1">
        <v>4.32</v>
      </c>
      <c r="D160" s="1">
        <v>4.4400000000000004</v>
      </c>
      <c r="E160" s="1">
        <v>4.03</v>
      </c>
      <c r="F160" s="1" t="s">
        <v>140</v>
      </c>
      <c r="G160" s="3">
        <v>-4.3999999999999997E-2</v>
      </c>
    </row>
    <row r="161" spans="1:7" x14ac:dyDescent="0.25">
      <c r="A161" s="2">
        <v>160</v>
      </c>
      <c r="B161" s="1">
        <v>4.09</v>
      </c>
      <c r="C161" s="1">
        <v>4.2</v>
      </c>
      <c r="D161" s="1">
        <v>4.2</v>
      </c>
      <c r="E161" s="1">
        <v>3.7</v>
      </c>
      <c r="F161" s="1" t="s">
        <v>139</v>
      </c>
      <c r="G161" s="3">
        <v>-9.7000000000000003E-3</v>
      </c>
    </row>
    <row r="162" spans="1:7" x14ac:dyDescent="0.25">
      <c r="A162" s="2">
        <v>161</v>
      </c>
      <c r="B162" s="1">
        <v>4.4400000000000004</v>
      </c>
      <c r="C162" s="1">
        <v>4.0199999999999996</v>
      </c>
      <c r="D162" s="1">
        <v>4.49</v>
      </c>
      <c r="E162" s="1">
        <v>3.91</v>
      </c>
      <c r="F162" s="1" t="s">
        <v>138</v>
      </c>
      <c r="G162" s="3">
        <v>8.5599999999999996E-2</v>
      </c>
    </row>
    <row r="163" spans="1:7" x14ac:dyDescent="0.25">
      <c r="A163" s="2">
        <v>162</v>
      </c>
      <c r="B163" s="1">
        <v>3.69</v>
      </c>
      <c r="C163" s="1">
        <v>4.4400000000000004</v>
      </c>
      <c r="D163" s="1">
        <v>4.46</v>
      </c>
      <c r="E163" s="1">
        <v>3.5</v>
      </c>
      <c r="F163" s="1" t="s">
        <v>137</v>
      </c>
      <c r="G163" s="3">
        <v>-0.16889999999999999</v>
      </c>
    </row>
    <row r="164" spans="1:7" x14ac:dyDescent="0.25">
      <c r="A164" s="2">
        <v>163</v>
      </c>
      <c r="B164" s="1">
        <v>3.46</v>
      </c>
      <c r="C164" s="1">
        <v>3.69</v>
      </c>
      <c r="D164" s="1">
        <v>4.2</v>
      </c>
      <c r="E164" s="1">
        <v>3.42</v>
      </c>
      <c r="F164" s="1" t="s">
        <v>136</v>
      </c>
      <c r="G164" s="3">
        <v>-6.2300000000000001E-2</v>
      </c>
    </row>
    <row r="165" spans="1:7" x14ac:dyDescent="0.25">
      <c r="A165" s="2">
        <v>164</v>
      </c>
      <c r="B165" s="1">
        <v>4.0199999999999996</v>
      </c>
      <c r="C165" s="1">
        <v>3.55</v>
      </c>
      <c r="D165" s="1">
        <v>4.21</v>
      </c>
      <c r="E165" s="1">
        <v>3.46</v>
      </c>
      <c r="F165" s="1" t="s">
        <v>135</v>
      </c>
      <c r="G165" s="3">
        <v>0.1618</v>
      </c>
    </row>
    <row r="166" spans="1:7" x14ac:dyDescent="0.25">
      <c r="A166" s="2">
        <v>165</v>
      </c>
      <c r="B166" s="1">
        <v>4.1100000000000003</v>
      </c>
      <c r="C166" s="1">
        <v>4.0199999999999996</v>
      </c>
      <c r="D166" s="1">
        <v>4.3600000000000003</v>
      </c>
      <c r="E166" s="1">
        <v>3.89</v>
      </c>
      <c r="F166" s="1" t="s">
        <v>134</v>
      </c>
      <c r="G166" s="3">
        <v>2.24E-2</v>
      </c>
    </row>
    <row r="167" spans="1:7" x14ac:dyDescent="0.25">
      <c r="A167" s="2">
        <v>166</v>
      </c>
      <c r="B167" s="1">
        <v>3.84</v>
      </c>
      <c r="C167" s="1">
        <v>4.1100000000000003</v>
      </c>
      <c r="D167" s="1">
        <v>4.16</v>
      </c>
      <c r="E167" s="1">
        <v>3.78</v>
      </c>
      <c r="F167" s="1" t="s">
        <v>133</v>
      </c>
      <c r="G167" s="3">
        <v>-6.5699999999999995E-2</v>
      </c>
    </row>
    <row r="168" spans="1:7" x14ac:dyDescent="0.25">
      <c r="A168" s="2">
        <v>167</v>
      </c>
      <c r="B168" s="1">
        <v>4.13</v>
      </c>
      <c r="C168" s="1">
        <v>3.95</v>
      </c>
      <c r="D168" s="1">
        <v>4.3099999999999996</v>
      </c>
      <c r="E168" s="1">
        <v>3.75</v>
      </c>
      <c r="F168" s="1" t="s">
        <v>132</v>
      </c>
      <c r="G168" s="3">
        <v>7.5499999999999998E-2</v>
      </c>
    </row>
    <row r="169" spans="1:7" x14ac:dyDescent="0.25">
      <c r="A169" s="2">
        <v>168</v>
      </c>
      <c r="B169" s="1">
        <v>4.79</v>
      </c>
      <c r="C169" s="1">
        <v>4.1900000000000004</v>
      </c>
      <c r="D169" s="1">
        <v>4.93</v>
      </c>
      <c r="E169" s="1">
        <v>4.0999999999999996</v>
      </c>
      <c r="F169" s="1" t="s">
        <v>131</v>
      </c>
      <c r="G169" s="3">
        <v>0.1598</v>
      </c>
    </row>
    <row r="170" spans="1:7" x14ac:dyDescent="0.25">
      <c r="A170" s="2">
        <v>169</v>
      </c>
      <c r="B170" s="1">
        <v>4.95</v>
      </c>
      <c r="C170" s="1">
        <v>4.75</v>
      </c>
      <c r="D170" s="1">
        <v>5</v>
      </c>
      <c r="E170" s="1">
        <v>3.95</v>
      </c>
      <c r="F170" s="1" t="s">
        <v>130</v>
      </c>
      <c r="G170" s="3">
        <v>3.3399999999999999E-2</v>
      </c>
    </row>
    <row r="171" spans="1:7" x14ac:dyDescent="0.25">
      <c r="A171" s="2">
        <v>170</v>
      </c>
      <c r="B171" s="1">
        <v>5.04</v>
      </c>
      <c r="C171" s="1">
        <v>4.95</v>
      </c>
      <c r="D171" s="1">
        <v>5.4</v>
      </c>
      <c r="E171" s="1">
        <v>4.46</v>
      </c>
      <c r="F171" s="1" t="s">
        <v>129</v>
      </c>
      <c r="G171" s="3">
        <v>1.8200000000000001E-2</v>
      </c>
    </row>
    <row r="172" spans="1:7" x14ac:dyDescent="0.25">
      <c r="A172" s="2">
        <v>171</v>
      </c>
      <c r="B172" s="1">
        <v>4.01</v>
      </c>
      <c r="C172" s="1">
        <v>5.05</v>
      </c>
      <c r="D172" s="1">
        <v>5.6</v>
      </c>
      <c r="E172" s="1">
        <v>3.99</v>
      </c>
      <c r="F172" s="1" t="s">
        <v>128</v>
      </c>
      <c r="G172" s="3">
        <v>-0.2044</v>
      </c>
    </row>
    <row r="173" spans="1:7" x14ac:dyDescent="0.25">
      <c r="A173" s="2">
        <v>172</v>
      </c>
      <c r="B173" s="1">
        <v>4.3</v>
      </c>
      <c r="C173" s="1">
        <v>3.97</v>
      </c>
      <c r="D173" s="1">
        <v>4.9000000000000004</v>
      </c>
      <c r="E173" s="1">
        <v>3.9</v>
      </c>
      <c r="F173" s="1" t="s">
        <v>127</v>
      </c>
      <c r="G173" s="3">
        <v>7.2300000000000003E-2</v>
      </c>
    </row>
    <row r="174" spans="1:7" x14ac:dyDescent="0.25">
      <c r="A174" s="2">
        <v>173</v>
      </c>
      <c r="B174" s="1">
        <v>4.68</v>
      </c>
      <c r="C174" s="1">
        <v>4.3499999999999996</v>
      </c>
      <c r="D174" s="1">
        <v>4.79</v>
      </c>
      <c r="E174" s="1">
        <v>3.6</v>
      </c>
      <c r="F174" s="1" t="s">
        <v>126</v>
      </c>
      <c r="G174" s="3">
        <v>8.8400000000000006E-2</v>
      </c>
    </row>
    <row r="175" spans="1:7" x14ac:dyDescent="0.25">
      <c r="A175" s="2">
        <v>174</v>
      </c>
      <c r="B175" s="1">
        <v>4.8600000000000003</v>
      </c>
      <c r="C175" s="1">
        <v>4.8</v>
      </c>
      <c r="D175" s="1">
        <v>4.9400000000000004</v>
      </c>
      <c r="E175" s="1">
        <v>4.01</v>
      </c>
      <c r="F175" s="1" t="s">
        <v>125</v>
      </c>
      <c r="G175" s="3">
        <v>3.85E-2</v>
      </c>
    </row>
    <row r="176" spans="1:7" x14ac:dyDescent="0.25">
      <c r="A176" s="2">
        <v>175</v>
      </c>
      <c r="B176" s="1">
        <v>5.35</v>
      </c>
      <c r="C176" s="1">
        <v>4.91</v>
      </c>
      <c r="D176" s="1">
        <v>6.56</v>
      </c>
      <c r="E176" s="1">
        <v>4.84</v>
      </c>
      <c r="F176" s="1" t="s">
        <v>124</v>
      </c>
      <c r="G176" s="3">
        <v>0.1008</v>
      </c>
    </row>
    <row r="177" spans="1:7" x14ac:dyDescent="0.25">
      <c r="A177" s="2">
        <v>176</v>
      </c>
      <c r="B177" s="1">
        <v>5.3</v>
      </c>
      <c r="C177" s="1">
        <v>5.5</v>
      </c>
      <c r="D177" s="1">
        <v>5.81</v>
      </c>
      <c r="E177" s="1">
        <v>5.08</v>
      </c>
      <c r="F177" s="1" t="s">
        <v>123</v>
      </c>
      <c r="G177" s="3">
        <v>-9.2999999999999992E-3</v>
      </c>
    </row>
    <row r="178" spans="1:7" x14ac:dyDescent="0.25">
      <c r="A178" s="2">
        <v>177</v>
      </c>
      <c r="B178" s="1">
        <v>5.0999999999999996</v>
      </c>
      <c r="C178" s="1">
        <v>5.39</v>
      </c>
      <c r="D178" s="1">
        <v>5.55</v>
      </c>
      <c r="E178" s="1">
        <v>4.3899999999999997</v>
      </c>
      <c r="F178" s="1" t="s">
        <v>122</v>
      </c>
      <c r="G178" s="3">
        <v>-3.7699999999999997E-2</v>
      </c>
    </row>
    <row r="179" spans="1:7" x14ac:dyDescent="0.25">
      <c r="A179" s="2">
        <v>178</v>
      </c>
      <c r="B179" s="1">
        <v>5.58</v>
      </c>
      <c r="C179" s="1">
        <v>5.04</v>
      </c>
      <c r="D179" s="1">
        <v>6</v>
      </c>
      <c r="E179" s="1">
        <v>4.8</v>
      </c>
      <c r="F179" s="1" t="s">
        <v>121</v>
      </c>
      <c r="G179" s="3">
        <v>9.4100000000000003E-2</v>
      </c>
    </row>
    <row r="180" spans="1:7" x14ac:dyDescent="0.25">
      <c r="A180" s="2">
        <v>179</v>
      </c>
      <c r="B180" s="1">
        <v>5.1100000000000003</v>
      </c>
      <c r="C180" s="1">
        <v>5.68</v>
      </c>
      <c r="D180" s="1">
        <v>5.68</v>
      </c>
      <c r="E180" s="1">
        <v>4.8</v>
      </c>
      <c r="F180" s="1" t="s">
        <v>120</v>
      </c>
      <c r="G180" s="3">
        <v>-8.4199999999999997E-2</v>
      </c>
    </row>
    <row r="181" spans="1:7" x14ac:dyDescent="0.25">
      <c r="A181" s="2">
        <v>180</v>
      </c>
      <c r="B181" s="1">
        <v>5.27</v>
      </c>
      <c r="C181" s="1">
        <v>5</v>
      </c>
      <c r="D181" s="1">
        <v>5.34</v>
      </c>
      <c r="E181" s="1">
        <v>4.8899999999999997</v>
      </c>
      <c r="F181" s="1" t="s">
        <v>119</v>
      </c>
      <c r="G181" s="3">
        <v>3.1300000000000001E-2</v>
      </c>
    </row>
    <row r="182" spans="1:7" x14ac:dyDescent="0.25">
      <c r="A182" s="2">
        <v>181</v>
      </c>
      <c r="B182" s="1">
        <v>5.01</v>
      </c>
      <c r="C182" s="1">
        <v>5.35</v>
      </c>
      <c r="D182" s="1">
        <v>6.09</v>
      </c>
      <c r="E182" s="1">
        <v>4.99</v>
      </c>
      <c r="F182" s="1" t="s">
        <v>118</v>
      </c>
      <c r="G182" s="3">
        <v>-4.9299999999999997E-2</v>
      </c>
    </row>
    <row r="183" spans="1:7" x14ac:dyDescent="0.25">
      <c r="A183" s="2">
        <v>182</v>
      </c>
      <c r="B183" s="1">
        <v>5.85</v>
      </c>
      <c r="C183" s="1">
        <v>5.0199999999999996</v>
      </c>
      <c r="D183" s="1">
        <v>6</v>
      </c>
      <c r="E183" s="1">
        <v>4.72</v>
      </c>
      <c r="F183" s="1" t="s">
        <v>117</v>
      </c>
      <c r="G183" s="3">
        <v>0.16769999999999999</v>
      </c>
    </row>
    <row r="184" spans="1:7" x14ac:dyDescent="0.25">
      <c r="A184" s="2">
        <v>183</v>
      </c>
      <c r="B184" s="1">
        <v>5.75</v>
      </c>
      <c r="C184" s="1">
        <v>5.84</v>
      </c>
      <c r="D184" s="1">
        <v>6</v>
      </c>
      <c r="E184" s="1">
        <v>5.54</v>
      </c>
      <c r="F184" s="1" t="s">
        <v>116</v>
      </c>
      <c r="G184" s="3">
        <v>-1.7100000000000001E-2</v>
      </c>
    </row>
    <row r="185" spans="1:7" x14ac:dyDescent="0.25">
      <c r="A185" s="2">
        <v>184</v>
      </c>
      <c r="B185" s="1">
        <v>5.88</v>
      </c>
      <c r="C185" s="1">
        <v>5.8</v>
      </c>
      <c r="D185" s="1">
        <v>6</v>
      </c>
      <c r="E185" s="1">
        <v>5.65</v>
      </c>
      <c r="F185" s="1" t="s">
        <v>115</v>
      </c>
      <c r="G185" s="3">
        <v>2.2599999999999999E-2</v>
      </c>
    </row>
    <row r="186" spans="1:7" x14ac:dyDescent="0.25">
      <c r="A186" s="2">
        <v>185</v>
      </c>
      <c r="B186" s="1">
        <v>6</v>
      </c>
      <c r="C186" s="1">
        <v>5.99</v>
      </c>
      <c r="D186" s="1">
        <v>6.39</v>
      </c>
      <c r="E186" s="1">
        <v>5.82</v>
      </c>
      <c r="F186" s="1" t="s">
        <v>114</v>
      </c>
      <c r="G186" s="3">
        <v>2.0400000000000001E-2</v>
      </c>
    </row>
    <row r="187" spans="1:7" x14ac:dyDescent="0.25">
      <c r="A187" s="2">
        <v>186</v>
      </c>
      <c r="B187" s="1">
        <v>6.02</v>
      </c>
      <c r="C187" s="1">
        <v>5.99</v>
      </c>
      <c r="D187" s="1">
        <v>6.3</v>
      </c>
      <c r="E187" s="1">
        <v>5.95</v>
      </c>
      <c r="F187" s="1" t="s">
        <v>113</v>
      </c>
      <c r="G187" s="3">
        <v>3.3E-3</v>
      </c>
    </row>
    <row r="188" spans="1:7" x14ac:dyDescent="0.25">
      <c r="A188" s="2">
        <v>187</v>
      </c>
      <c r="B188" s="1">
        <v>5.97</v>
      </c>
      <c r="C188" s="1">
        <v>6.09</v>
      </c>
      <c r="D188" s="1">
        <v>6.61</v>
      </c>
      <c r="E188" s="1">
        <v>5.91</v>
      </c>
      <c r="F188" s="1" t="s">
        <v>112</v>
      </c>
      <c r="G188" s="3">
        <v>-8.3000000000000001E-3</v>
      </c>
    </row>
    <row r="189" spans="1:7" x14ac:dyDescent="0.25">
      <c r="A189" s="2">
        <v>188</v>
      </c>
      <c r="B189" s="1">
        <v>6.1</v>
      </c>
      <c r="C189" s="1">
        <v>6.06</v>
      </c>
      <c r="D189" s="1">
        <v>6.33</v>
      </c>
      <c r="E189" s="1">
        <v>5.68</v>
      </c>
      <c r="F189" s="1" t="s">
        <v>111</v>
      </c>
      <c r="G189" s="3">
        <v>2.18E-2</v>
      </c>
    </row>
    <row r="190" spans="1:7" x14ac:dyDescent="0.25">
      <c r="A190" s="2">
        <v>189</v>
      </c>
      <c r="B190" s="1">
        <v>6.2</v>
      </c>
      <c r="C190" s="1">
        <v>6.14</v>
      </c>
      <c r="D190" s="1">
        <v>6.7</v>
      </c>
      <c r="E190" s="1">
        <v>6.07</v>
      </c>
      <c r="F190" s="1" t="s">
        <v>110</v>
      </c>
      <c r="G190" s="3">
        <v>1.6400000000000001E-2</v>
      </c>
    </row>
    <row r="191" spans="1:7" x14ac:dyDescent="0.25">
      <c r="A191" s="2">
        <v>190</v>
      </c>
      <c r="B191" s="1">
        <v>6.36</v>
      </c>
      <c r="C191" s="1">
        <v>6.28</v>
      </c>
      <c r="D191" s="1">
        <v>6.5</v>
      </c>
      <c r="E191" s="1">
        <v>6.13</v>
      </c>
      <c r="F191" s="1" t="s">
        <v>109</v>
      </c>
      <c r="G191" s="3">
        <v>2.58E-2</v>
      </c>
    </row>
    <row r="192" spans="1:7" x14ac:dyDescent="0.25">
      <c r="A192" s="2">
        <v>191</v>
      </c>
      <c r="B192" s="1">
        <v>6.49</v>
      </c>
      <c r="C192" s="1">
        <v>6.45</v>
      </c>
      <c r="D192" s="1">
        <v>6.61</v>
      </c>
      <c r="E192" s="1">
        <v>5.7</v>
      </c>
      <c r="F192" s="1" t="s">
        <v>108</v>
      </c>
      <c r="G192" s="3">
        <v>2.0400000000000001E-2</v>
      </c>
    </row>
    <row r="193" spans="1:7" x14ac:dyDescent="0.25">
      <c r="A193" s="2">
        <v>192</v>
      </c>
      <c r="B193" s="1">
        <v>6.46</v>
      </c>
      <c r="C193" s="1">
        <v>6.5</v>
      </c>
      <c r="D193" s="1">
        <v>6.63</v>
      </c>
      <c r="E193" s="1">
        <v>6.21</v>
      </c>
      <c r="F193" s="1" t="s">
        <v>107</v>
      </c>
      <c r="G193" s="3">
        <v>-4.5999999999999999E-3</v>
      </c>
    </row>
    <row r="194" spans="1:7" x14ac:dyDescent="0.25">
      <c r="A194" s="2">
        <v>193</v>
      </c>
      <c r="B194" s="1">
        <v>7.07</v>
      </c>
      <c r="C194" s="1">
        <v>6.49</v>
      </c>
      <c r="D194" s="1">
        <v>7.09</v>
      </c>
      <c r="E194" s="1">
        <v>6.24</v>
      </c>
      <c r="F194" s="1" t="s">
        <v>106</v>
      </c>
      <c r="G194" s="3">
        <v>9.4399999999999998E-2</v>
      </c>
    </row>
    <row r="195" spans="1:7" x14ac:dyDescent="0.25">
      <c r="A195" s="2">
        <v>194</v>
      </c>
      <c r="B195" s="1">
        <v>6.39</v>
      </c>
      <c r="C195" s="1">
        <v>7.06</v>
      </c>
      <c r="D195" s="1">
        <v>7.15</v>
      </c>
      <c r="E195" s="1">
        <v>6.33</v>
      </c>
      <c r="F195" s="1" t="s">
        <v>105</v>
      </c>
      <c r="G195" s="3">
        <v>-9.6199999999999994E-2</v>
      </c>
    </row>
    <row r="196" spans="1:7" x14ac:dyDescent="0.25">
      <c r="A196" s="2">
        <v>195</v>
      </c>
      <c r="B196" s="1">
        <v>6.53</v>
      </c>
      <c r="C196" s="1">
        <v>6.43</v>
      </c>
      <c r="D196" s="1">
        <v>6.89</v>
      </c>
      <c r="E196" s="1">
        <v>6.28</v>
      </c>
      <c r="F196" s="1" t="s">
        <v>104</v>
      </c>
      <c r="G196" s="3">
        <v>2.1899999999999999E-2</v>
      </c>
    </row>
    <row r="197" spans="1:7" x14ac:dyDescent="0.25">
      <c r="A197" s="2">
        <v>196</v>
      </c>
      <c r="B197" s="1">
        <v>6.25</v>
      </c>
      <c r="C197" s="1">
        <v>6.54</v>
      </c>
      <c r="D197" s="1">
        <v>6.69</v>
      </c>
      <c r="E197" s="1">
        <v>6.11</v>
      </c>
      <c r="F197" s="1" t="s">
        <v>103</v>
      </c>
      <c r="G197" s="3">
        <v>-4.2900000000000001E-2</v>
      </c>
    </row>
    <row r="198" spans="1:7" x14ac:dyDescent="0.25">
      <c r="A198" s="2">
        <v>197</v>
      </c>
      <c r="B198" s="1">
        <v>5.99</v>
      </c>
      <c r="C198" s="1">
        <v>6.3</v>
      </c>
      <c r="D198" s="1">
        <v>6.43</v>
      </c>
      <c r="E198" s="1">
        <v>5.9</v>
      </c>
      <c r="F198" s="1" t="s">
        <v>102</v>
      </c>
      <c r="G198" s="3">
        <v>-4.1599999999999998E-2</v>
      </c>
    </row>
    <row r="199" spans="1:7" x14ac:dyDescent="0.25">
      <c r="A199" s="2">
        <v>198</v>
      </c>
      <c r="B199" s="1">
        <v>6.51</v>
      </c>
      <c r="C199" s="1">
        <v>5.99</v>
      </c>
      <c r="D199" s="1">
        <v>6.7</v>
      </c>
      <c r="E199" s="1">
        <v>5.99</v>
      </c>
      <c r="F199" s="1" t="s">
        <v>101</v>
      </c>
      <c r="G199" s="3">
        <v>8.6800000000000002E-2</v>
      </c>
    </row>
    <row r="200" spans="1:7" x14ac:dyDescent="0.25">
      <c r="A200" s="2">
        <v>199</v>
      </c>
      <c r="B200" s="1">
        <v>5.8</v>
      </c>
      <c r="C200" s="1">
        <v>6.48</v>
      </c>
      <c r="D200" s="1">
        <v>6.78</v>
      </c>
      <c r="E200" s="1">
        <v>5.69</v>
      </c>
      <c r="F200" s="1" t="s">
        <v>100</v>
      </c>
      <c r="G200" s="3">
        <v>-0.1091</v>
      </c>
    </row>
    <row r="201" spans="1:7" x14ac:dyDescent="0.25">
      <c r="A201" s="2">
        <v>200</v>
      </c>
      <c r="B201" s="1">
        <v>6.1</v>
      </c>
      <c r="C201" s="1">
        <v>5.82</v>
      </c>
      <c r="D201" s="1">
        <v>6.2</v>
      </c>
      <c r="E201" s="1">
        <v>5.47</v>
      </c>
      <c r="F201" s="1" t="s">
        <v>99</v>
      </c>
      <c r="G201" s="3">
        <v>5.1700000000000003E-2</v>
      </c>
    </row>
    <row r="202" spans="1:7" x14ac:dyDescent="0.25">
      <c r="A202" s="2">
        <v>201</v>
      </c>
      <c r="B202" s="1">
        <v>6.19</v>
      </c>
      <c r="C202" s="1">
        <v>6.15</v>
      </c>
      <c r="D202" s="1">
        <v>6.69</v>
      </c>
      <c r="E202" s="1">
        <v>6.04</v>
      </c>
      <c r="F202" s="1" t="s">
        <v>98</v>
      </c>
      <c r="G202" s="3">
        <v>1.4800000000000001E-2</v>
      </c>
    </row>
    <row r="203" spans="1:7" x14ac:dyDescent="0.25">
      <c r="A203" s="2">
        <v>202</v>
      </c>
      <c r="B203" s="1">
        <v>6.19</v>
      </c>
      <c r="C203" s="1">
        <v>6.33</v>
      </c>
      <c r="D203" s="1">
        <v>6.58</v>
      </c>
      <c r="E203" s="1">
        <v>6.16</v>
      </c>
      <c r="F203" s="1" t="s">
        <v>97</v>
      </c>
      <c r="G203" s="3">
        <v>0</v>
      </c>
    </row>
    <row r="204" spans="1:7" x14ac:dyDescent="0.25">
      <c r="A204" s="2">
        <v>203</v>
      </c>
      <c r="B204" s="1">
        <v>5.98</v>
      </c>
      <c r="C204" s="1">
        <v>6.2</v>
      </c>
      <c r="D204" s="1">
        <v>6.27</v>
      </c>
      <c r="E204" s="1">
        <v>5.51</v>
      </c>
      <c r="F204" s="1" t="s">
        <v>96</v>
      </c>
      <c r="G204" s="3">
        <v>-3.39E-2</v>
      </c>
    </row>
    <row r="205" spans="1:7" x14ac:dyDescent="0.25">
      <c r="A205" s="2">
        <v>204</v>
      </c>
      <c r="B205" s="1">
        <v>5.33</v>
      </c>
      <c r="C205" s="1">
        <v>5.83</v>
      </c>
      <c r="D205" s="1">
        <v>5.95</v>
      </c>
      <c r="E205" s="1">
        <v>5.16</v>
      </c>
      <c r="F205" s="1" t="s">
        <v>95</v>
      </c>
      <c r="G205" s="3">
        <v>-0.1087</v>
      </c>
    </row>
    <row r="206" spans="1:7" x14ac:dyDescent="0.25">
      <c r="A206" s="2">
        <v>205</v>
      </c>
      <c r="B206" s="1">
        <v>5.53</v>
      </c>
      <c r="C206" s="1">
        <v>5.49</v>
      </c>
      <c r="D206" s="1">
        <v>5.89</v>
      </c>
      <c r="E206" s="1">
        <v>5.33</v>
      </c>
      <c r="F206" s="1" t="s">
        <v>94</v>
      </c>
      <c r="G206" s="3">
        <v>3.7499999999999999E-2</v>
      </c>
    </row>
    <row r="207" spans="1:7" x14ac:dyDescent="0.25">
      <c r="A207" s="2">
        <v>206</v>
      </c>
      <c r="B207" s="1">
        <v>6.49</v>
      </c>
      <c r="C207" s="1">
        <v>5.36</v>
      </c>
      <c r="D207" s="1">
        <v>6.5</v>
      </c>
      <c r="E207" s="1">
        <v>5.36</v>
      </c>
      <c r="F207" s="1" t="s">
        <v>93</v>
      </c>
      <c r="G207" s="3">
        <v>0.1736</v>
      </c>
    </row>
    <row r="208" spans="1:7" x14ac:dyDescent="0.25">
      <c r="A208" s="2">
        <v>207</v>
      </c>
      <c r="B208" s="1">
        <v>6.75</v>
      </c>
      <c r="C208" s="1">
        <v>6.49</v>
      </c>
      <c r="D208" s="1">
        <v>7.27</v>
      </c>
      <c r="E208" s="1">
        <v>6.16</v>
      </c>
      <c r="F208" s="1" t="s">
        <v>92</v>
      </c>
      <c r="G208" s="3">
        <v>4.0099999999999997E-2</v>
      </c>
    </row>
    <row r="209" spans="1:7" x14ac:dyDescent="0.25">
      <c r="A209" s="2">
        <v>208</v>
      </c>
      <c r="B209" s="1">
        <v>6.35</v>
      </c>
      <c r="C209" s="1">
        <v>6.76</v>
      </c>
      <c r="D209" s="1">
        <v>7</v>
      </c>
      <c r="E209" s="1">
        <v>6.27</v>
      </c>
      <c r="F209" s="1" t="s">
        <v>91</v>
      </c>
      <c r="G209" s="3">
        <v>-5.9299999999999999E-2</v>
      </c>
    </row>
    <row r="210" spans="1:7" x14ac:dyDescent="0.25">
      <c r="A210" s="2">
        <v>209</v>
      </c>
      <c r="B210" s="1">
        <v>6.55</v>
      </c>
      <c r="C210" s="1">
        <v>6.35</v>
      </c>
      <c r="D210" s="1">
        <v>6.82</v>
      </c>
      <c r="E210" s="1">
        <v>6.3</v>
      </c>
      <c r="F210" s="1" t="s">
        <v>90</v>
      </c>
      <c r="G210" s="3">
        <v>3.15E-2</v>
      </c>
    </row>
    <row r="211" spans="1:7" x14ac:dyDescent="0.25">
      <c r="A211" s="2">
        <v>210</v>
      </c>
      <c r="B211" s="1">
        <v>6.92</v>
      </c>
      <c r="C211" s="1">
        <v>6.55</v>
      </c>
      <c r="D211" s="1">
        <v>6.95</v>
      </c>
      <c r="E211" s="1">
        <v>6.44</v>
      </c>
      <c r="F211" s="1" t="s">
        <v>89</v>
      </c>
      <c r="G211" s="3">
        <v>5.6500000000000002E-2</v>
      </c>
    </row>
    <row r="212" spans="1:7" x14ac:dyDescent="0.25">
      <c r="A212" s="2">
        <v>211</v>
      </c>
      <c r="B212" s="1">
        <v>6.87</v>
      </c>
      <c r="C212" s="1">
        <v>7</v>
      </c>
      <c r="D212" s="1">
        <v>7.19</v>
      </c>
      <c r="E212" s="1">
        <v>6.64</v>
      </c>
      <c r="F212" s="1" t="s">
        <v>88</v>
      </c>
      <c r="G212" s="3">
        <v>-7.1999999999999998E-3</v>
      </c>
    </row>
    <row r="213" spans="1:7" x14ac:dyDescent="0.25">
      <c r="A213" s="2">
        <v>212</v>
      </c>
      <c r="B213" s="1">
        <v>6.85</v>
      </c>
      <c r="C213" s="1">
        <v>6.87</v>
      </c>
      <c r="D213" s="1">
        <v>7.45</v>
      </c>
      <c r="E213" s="1">
        <v>6.49</v>
      </c>
      <c r="F213" s="1" t="s">
        <v>87</v>
      </c>
      <c r="G213" s="3">
        <v>-2.8999999999999998E-3</v>
      </c>
    </row>
    <row r="214" spans="1:7" x14ac:dyDescent="0.25">
      <c r="A214" s="2">
        <v>213</v>
      </c>
      <c r="B214" s="1">
        <v>7.12</v>
      </c>
      <c r="C214" s="1">
        <v>6.95</v>
      </c>
      <c r="D214" s="1">
        <v>7.49</v>
      </c>
      <c r="E214" s="1">
        <v>6.79</v>
      </c>
      <c r="F214" s="1" t="s">
        <v>86</v>
      </c>
      <c r="G214" s="3">
        <v>3.9399999999999998E-2</v>
      </c>
    </row>
    <row r="215" spans="1:7" x14ac:dyDescent="0.25">
      <c r="A215" s="2">
        <v>214</v>
      </c>
      <c r="B215" s="1">
        <v>6.91</v>
      </c>
      <c r="C215" s="1">
        <v>7.24</v>
      </c>
      <c r="D215" s="1">
        <v>7.6</v>
      </c>
      <c r="E215" s="1">
        <v>6.3</v>
      </c>
      <c r="F215" s="1" t="s">
        <v>85</v>
      </c>
      <c r="G215" s="3">
        <v>-2.9499999999999998E-2</v>
      </c>
    </row>
    <row r="216" spans="1:7" x14ac:dyDescent="0.25">
      <c r="A216" s="2">
        <v>215</v>
      </c>
      <c r="B216" s="1">
        <v>6.49</v>
      </c>
      <c r="C216" s="1">
        <v>6.94</v>
      </c>
      <c r="D216" s="1">
        <v>7.34</v>
      </c>
      <c r="E216" s="1">
        <v>6.41</v>
      </c>
      <c r="F216" s="1" t="s">
        <v>84</v>
      </c>
      <c r="G216" s="3">
        <v>-6.08E-2</v>
      </c>
    </row>
    <row r="217" spans="1:7" x14ac:dyDescent="0.25">
      <c r="A217" s="2">
        <v>216</v>
      </c>
      <c r="B217" s="1">
        <v>6.68</v>
      </c>
      <c r="C217" s="1">
        <v>6.5</v>
      </c>
      <c r="D217" s="1">
        <v>7</v>
      </c>
      <c r="E217" s="1">
        <v>6.48</v>
      </c>
      <c r="F217" s="1" t="s">
        <v>83</v>
      </c>
      <c r="G217" s="3">
        <v>2.93E-2</v>
      </c>
    </row>
    <row r="218" spans="1:7" x14ac:dyDescent="0.25">
      <c r="A218" s="2">
        <v>217</v>
      </c>
      <c r="B218" s="1">
        <v>6.05</v>
      </c>
      <c r="C218" s="1">
        <v>6.7</v>
      </c>
      <c r="D218" s="1">
        <v>6.7</v>
      </c>
      <c r="E218" s="1">
        <v>6</v>
      </c>
      <c r="F218" s="1" t="s">
        <v>82</v>
      </c>
      <c r="G218" s="3">
        <v>-9.4299999999999995E-2</v>
      </c>
    </row>
    <row r="219" spans="1:7" x14ac:dyDescent="0.25">
      <c r="A219" s="2">
        <v>218</v>
      </c>
      <c r="B219" s="1">
        <v>5.92</v>
      </c>
      <c r="C219" s="1">
        <v>6.1</v>
      </c>
      <c r="D219" s="1">
        <v>6.35</v>
      </c>
      <c r="E219" s="1">
        <v>5.82</v>
      </c>
      <c r="F219" s="1" t="s">
        <v>81</v>
      </c>
      <c r="G219" s="3">
        <v>-2.1499999999999998E-2</v>
      </c>
    </row>
    <row r="220" spans="1:7" x14ac:dyDescent="0.25">
      <c r="A220" s="2">
        <v>219</v>
      </c>
      <c r="B220" s="1">
        <v>6.28</v>
      </c>
      <c r="C220" s="1">
        <v>5.96</v>
      </c>
      <c r="D220" s="1">
        <v>6.33</v>
      </c>
      <c r="E220" s="1">
        <v>5.9</v>
      </c>
      <c r="F220" s="1" t="s">
        <v>80</v>
      </c>
      <c r="G220" s="3">
        <v>6.08E-2</v>
      </c>
    </row>
    <row r="221" spans="1:7" x14ac:dyDescent="0.25">
      <c r="A221" s="2">
        <v>220</v>
      </c>
      <c r="B221" s="1">
        <v>6.08</v>
      </c>
      <c r="C221" s="1">
        <v>6.3</v>
      </c>
      <c r="D221" s="1">
        <v>6.45</v>
      </c>
      <c r="E221" s="1">
        <v>5.82</v>
      </c>
      <c r="F221" s="1" t="s">
        <v>79</v>
      </c>
      <c r="G221" s="3">
        <v>-3.1800000000000002E-2</v>
      </c>
    </row>
    <row r="222" spans="1:7" x14ac:dyDescent="0.25">
      <c r="A222" s="2">
        <v>221</v>
      </c>
      <c r="B222" s="1">
        <v>6.05</v>
      </c>
      <c r="C222" s="1">
        <v>6.06</v>
      </c>
      <c r="D222" s="1">
        <v>6.3</v>
      </c>
      <c r="E222" s="1">
        <v>5.8</v>
      </c>
      <c r="F222" s="1" t="s">
        <v>78</v>
      </c>
      <c r="G222" s="3">
        <v>-4.8999999999999998E-3</v>
      </c>
    </row>
    <row r="223" spans="1:7" x14ac:dyDescent="0.25">
      <c r="A223" s="2">
        <v>222</v>
      </c>
      <c r="B223" s="1">
        <v>5.98</v>
      </c>
      <c r="C223" s="1">
        <v>6.06</v>
      </c>
      <c r="D223" s="1">
        <v>6.15</v>
      </c>
      <c r="E223" s="1">
        <v>5.91</v>
      </c>
      <c r="F223" s="1" t="s">
        <v>14</v>
      </c>
      <c r="G223" s="3">
        <v>-1.1599999999999999E-2</v>
      </c>
    </row>
    <row r="224" spans="1:7" x14ac:dyDescent="0.25">
      <c r="A224" s="2">
        <v>223</v>
      </c>
      <c r="B224" s="1">
        <v>6.09</v>
      </c>
      <c r="C224" s="1">
        <v>5.97</v>
      </c>
      <c r="D224" s="1">
        <v>6.1</v>
      </c>
      <c r="E224" s="1">
        <v>5.87</v>
      </c>
      <c r="F224" s="1" t="s">
        <v>77</v>
      </c>
      <c r="G224" s="3">
        <v>1.84E-2</v>
      </c>
    </row>
    <row r="225" spans="1:7" x14ac:dyDescent="0.25">
      <c r="A225" s="2">
        <v>224</v>
      </c>
      <c r="B225" s="1">
        <v>6.36</v>
      </c>
      <c r="C225" s="1">
        <v>6.11</v>
      </c>
      <c r="D225" s="1">
        <v>6.45</v>
      </c>
      <c r="E225" s="1">
        <v>6.01</v>
      </c>
      <c r="F225" s="1" t="s">
        <v>76</v>
      </c>
      <c r="G225" s="3">
        <v>4.4299999999999999E-2</v>
      </c>
    </row>
    <row r="226" spans="1:7" x14ac:dyDescent="0.25">
      <c r="A226" s="2">
        <v>225</v>
      </c>
      <c r="B226" s="1">
        <v>6.78</v>
      </c>
      <c r="C226" s="1">
        <v>6.37</v>
      </c>
      <c r="D226" s="1">
        <v>6.8</v>
      </c>
      <c r="E226" s="1">
        <v>6.14</v>
      </c>
      <c r="F226" s="1" t="s">
        <v>75</v>
      </c>
      <c r="G226" s="3">
        <v>6.6000000000000003E-2</v>
      </c>
    </row>
    <row r="227" spans="1:7" x14ac:dyDescent="0.25">
      <c r="A227" s="2">
        <v>226</v>
      </c>
      <c r="B227" s="1">
        <v>6.84</v>
      </c>
      <c r="C227" s="1">
        <v>6.7</v>
      </c>
      <c r="D227" s="1">
        <v>7.15</v>
      </c>
      <c r="E227" s="1">
        <v>6.53</v>
      </c>
      <c r="F227" s="1" t="s">
        <v>74</v>
      </c>
      <c r="G227" s="3">
        <v>8.8000000000000005E-3</v>
      </c>
    </row>
    <row r="228" spans="1:7" x14ac:dyDescent="0.25">
      <c r="A228" s="2">
        <v>227</v>
      </c>
      <c r="B228" s="1">
        <v>7.67</v>
      </c>
      <c r="C228" s="1">
        <v>6.85</v>
      </c>
      <c r="D228" s="1">
        <v>7.94</v>
      </c>
      <c r="E228" s="1">
        <v>6.75</v>
      </c>
      <c r="F228" s="1" t="s">
        <v>73</v>
      </c>
      <c r="G228" s="3">
        <v>0.12130000000000001</v>
      </c>
    </row>
    <row r="229" spans="1:7" x14ac:dyDescent="0.25">
      <c r="A229" s="2">
        <v>228</v>
      </c>
      <c r="B229" s="1">
        <v>7.72</v>
      </c>
      <c r="C229" s="1">
        <v>7.69</v>
      </c>
      <c r="D229" s="1">
        <v>7.95</v>
      </c>
      <c r="E229" s="1">
        <v>7.28</v>
      </c>
      <c r="F229" s="1" t="s">
        <v>72</v>
      </c>
      <c r="G229" s="3">
        <v>6.4999999999999997E-3</v>
      </c>
    </row>
    <row r="230" spans="1:7" x14ac:dyDescent="0.25">
      <c r="A230" s="2">
        <v>229</v>
      </c>
      <c r="B230" s="1">
        <v>7.33</v>
      </c>
      <c r="C230" s="1">
        <v>7.73</v>
      </c>
      <c r="D230" s="1">
        <v>7.9</v>
      </c>
      <c r="E230" s="1">
        <v>7</v>
      </c>
      <c r="F230" s="1" t="s">
        <v>71</v>
      </c>
      <c r="G230" s="3">
        <v>-5.0500000000000003E-2</v>
      </c>
    </row>
    <row r="231" spans="1:7" x14ac:dyDescent="0.25">
      <c r="A231" s="2">
        <v>230</v>
      </c>
      <c r="B231" s="1">
        <v>7.15</v>
      </c>
      <c r="C231" s="1">
        <v>7.18</v>
      </c>
      <c r="D231" s="1">
        <v>7.94</v>
      </c>
      <c r="E231" s="1">
        <v>7.06</v>
      </c>
      <c r="F231" s="1" t="s">
        <v>70</v>
      </c>
      <c r="G231" s="3">
        <v>-2.46E-2</v>
      </c>
    </row>
    <row r="232" spans="1:7" x14ac:dyDescent="0.25">
      <c r="A232" s="2">
        <v>231</v>
      </c>
      <c r="B232" s="1">
        <v>7.06</v>
      </c>
      <c r="C232" s="1">
        <v>7.15</v>
      </c>
      <c r="D232" s="1">
        <v>7.49</v>
      </c>
      <c r="E232" s="1">
        <v>6.85</v>
      </c>
      <c r="F232" s="1" t="s">
        <v>69</v>
      </c>
      <c r="G232" s="3">
        <v>-1.26E-2</v>
      </c>
    </row>
    <row r="233" spans="1:7" x14ac:dyDescent="0.25">
      <c r="A233" s="2">
        <v>232</v>
      </c>
      <c r="B233" s="1">
        <v>6.44</v>
      </c>
      <c r="C233" s="1">
        <v>7.01</v>
      </c>
      <c r="D233" s="1">
        <v>7.23</v>
      </c>
      <c r="E233" s="1">
        <v>6.07</v>
      </c>
      <c r="F233" s="1" t="s">
        <v>68</v>
      </c>
      <c r="G233" s="3">
        <v>-8.7800000000000003E-2</v>
      </c>
    </row>
    <row r="234" spans="1:7" x14ac:dyDescent="0.25">
      <c r="A234" s="2">
        <v>233</v>
      </c>
      <c r="B234" s="1">
        <v>6.76</v>
      </c>
      <c r="C234" s="1">
        <v>6.43</v>
      </c>
      <c r="D234" s="1">
        <v>6.81</v>
      </c>
      <c r="E234" s="1">
        <v>6.08</v>
      </c>
      <c r="F234" s="1" t="s">
        <v>67</v>
      </c>
      <c r="G234" s="3">
        <v>4.9700000000000001E-2</v>
      </c>
    </row>
    <row r="235" spans="1:7" x14ac:dyDescent="0.25">
      <c r="A235" s="2">
        <v>234</v>
      </c>
      <c r="B235" s="1">
        <v>6.97</v>
      </c>
      <c r="C235" s="1">
        <v>6.65</v>
      </c>
      <c r="D235" s="1">
        <v>7.14</v>
      </c>
      <c r="E235" s="1">
        <v>6.4</v>
      </c>
      <c r="F235" s="1" t="s">
        <v>66</v>
      </c>
      <c r="G235" s="3">
        <v>3.1099999999999999E-2</v>
      </c>
    </row>
    <row r="236" spans="1:7" x14ac:dyDescent="0.25">
      <c r="A236" s="2">
        <v>235</v>
      </c>
      <c r="B236" s="1">
        <v>6.48</v>
      </c>
      <c r="C236" s="1">
        <v>6.96</v>
      </c>
      <c r="D236" s="1">
        <v>7.02</v>
      </c>
      <c r="E236" s="1">
        <v>6.12</v>
      </c>
      <c r="F236" s="1" t="s">
        <v>65</v>
      </c>
      <c r="G236" s="3">
        <v>-7.0300000000000001E-2</v>
      </c>
    </row>
    <row r="237" spans="1:7" x14ac:dyDescent="0.25">
      <c r="A237" s="2">
        <v>236</v>
      </c>
      <c r="B237" s="1">
        <v>6.76</v>
      </c>
      <c r="C237" s="1">
        <v>6.52</v>
      </c>
      <c r="D237" s="1">
        <v>6.94</v>
      </c>
      <c r="E237" s="1">
        <v>6.3</v>
      </c>
      <c r="F237" s="1" t="s">
        <v>64</v>
      </c>
      <c r="G237" s="3">
        <v>4.3200000000000002E-2</v>
      </c>
    </row>
    <row r="238" spans="1:7" x14ac:dyDescent="0.25">
      <c r="A238" s="2">
        <v>237</v>
      </c>
      <c r="B238" s="1">
        <v>5.39</v>
      </c>
      <c r="C238" s="1">
        <v>6.79</v>
      </c>
      <c r="D238" s="1">
        <v>6.83</v>
      </c>
      <c r="E238" s="1">
        <v>5.3</v>
      </c>
      <c r="F238" s="1" t="s">
        <v>63</v>
      </c>
      <c r="G238" s="3">
        <v>-0.20269999999999999</v>
      </c>
    </row>
    <row r="239" spans="1:7" x14ac:dyDescent="0.25">
      <c r="A239" s="2">
        <v>238</v>
      </c>
      <c r="B239" s="1">
        <v>5.33</v>
      </c>
      <c r="C239" s="1">
        <v>5.41</v>
      </c>
      <c r="D239" s="1">
        <v>5.88</v>
      </c>
      <c r="E239" s="1">
        <v>4.68</v>
      </c>
      <c r="F239" s="1" t="s">
        <v>62</v>
      </c>
      <c r="G239" s="3">
        <v>-1.11E-2</v>
      </c>
    </row>
    <row r="240" spans="1:7" x14ac:dyDescent="0.25">
      <c r="A240" s="2">
        <v>239</v>
      </c>
      <c r="B240" s="1">
        <v>5.09</v>
      </c>
      <c r="C240" s="1">
        <v>5.44</v>
      </c>
      <c r="D240" s="1">
        <v>5.73</v>
      </c>
      <c r="E240" s="1">
        <v>4.82</v>
      </c>
      <c r="F240" s="1" t="s">
        <v>61</v>
      </c>
      <c r="G240" s="3">
        <v>-4.4999999999999998E-2</v>
      </c>
    </row>
    <row r="241" spans="1:7" x14ac:dyDescent="0.25">
      <c r="A241" s="2">
        <v>240</v>
      </c>
      <c r="B241" s="1">
        <v>5.01</v>
      </c>
      <c r="C241" s="1">
        <v>5.0999999999999996</v>
      </c>
      <c r="D241" s="1">
        <v>5.18</v>
      </c>
      <c r="E241" s="1">
        <v>4.82</v>
      </c>
      <c r="F241" s="1" t="s">
        <v>60</v>
      </c>
      <c r="G241" s="3">
        <v>-1.5699999999999999E-2</v>
      </c>
    </row>
    <row r="242" spans="1:7" x14ac:dyDescent="0.25">
      <c r="A242" s="2">
        <v>241</v>
      </c>
      <c r="B242" s="1">
        <v>5.23</v>
      </c>
      <c r="C242" s="1">
        <v>5.04</v>
      </c>
      <c r="D242" s="1">
        <v>5.59</v>
      </c>
      <c r="E242" s="1">
        <v>4.8499999999999996</v>
      </c>
      <c r="F242" s="1" t="s">
        <v>59</v>
      </c>
      <c r="G242" s="3">
        <v>4.3900000000000002E-2</v>
      </c>
    </row>
    <row r="243" spans="1:7" x14ac:dyDescent="0.25">
      <c r="A243" s="2">
        <v>242</v>
      </c>
      <c r="B243" s="1">
        <v>4.9400000000000004</v>
      </c>
      <c r="C243" s="1">
        <v>5.27</v>
      </c>
      <c r="D243" s="1">
        <v>5.34</v>
      </c>
      <c r="E243" s="1">
        <v>4.8499999999999996</v>
      </c>
      <c r="F243" s="1" t="s">
        <v>58</v>
      </c>
      <c r="G243" s="3">
        <v>-5.5399999999999998E-2</v>
      </c>
    </row>
    <row r="244" spans="1:7" x14ac:dyDescent="0.25">
      <c r="A244" s="2">
        <v>243</v>
      </c>
      <c r="B244" s="1">
        <v>5.08</v>
      </c>
      <c r="C244" s="1">
        <v>4.95</v>
      </c>
      <c r="D244" s="1">
        <v>5.37</v>
      </c>
      <c r="E244" s="1">
        <v>4.93</v>
      </c>
      <c r="F244" s="1" t="s">
        <v>57</v>
      </c>
      <c r="G244" s="3">
        <v>2.8299999999999999E-2</v>
      </c>
    </row>
    <row r="245" spans="1:7" x14ac:dyDescent="0.25">
      <c r="A245" s="2">
        <v>244</v>
      </c>
      <c r="B245" s="1">
        <v>4.16</v>
      </c>
      <c r="C245" s="1">
        <v>5.0999999999999996</v>
      </c>
      <c r="D245" s="1">
        <v>5.12</v>
      </c>
      <c r="E245" s="1">
        <v>3.86</v>
      </c>
      <c r="F245" s="1" t="s">
        <v>21</v>
      </c>
      <c r="G245" s="3">
        <v>-0.18110000000000001</v>
      </c>
    </row>
    <row r="246" spans="1:7" x14ac:dyDescent="0.25">
      <c r="A246" s="2">
        <v>245</v>
      </c>
      <c r="B246" s="1">
        <v>4.2699999999999996</v>
      </c>
      <c r="C246" s="1">
        <v>4.18</v>
      </c>
      <c r="D246" s="1">
        <v>4.47</v>
      </c>
      <c r="E246" s="1">
        <v>4.01</v>
      </c>
      <c r="F246" s="1" t="s">
        <v>56</v>
      </c>
      <c r="G246" s="3">
        <v>2.64E-2</v>
      </c>
    </row>
    <row r="247" spans="1:7" x14ac:dyDescent="0.25">
      <c r="A247" s="2">
        <v>246</v>
      </c>
      <c r="B247" s="1">
        <v>4</v>
      </c>
      <c r="C247" s="1">
        <v>4.26</v>
      </c>
      <c r="D247" s="1">
        <v>4.3</v>
      </c>
      <c r="E247" s="1">
        <v>3.82</v>
      </c>
      <c r="F247" s="1" t="s">
        <v>55</v>
      </c>
      <c r="G247" s="3">
        <v>-6.3200000000000006E-2</v>
      </c>
    </row>
    <row r="248" spans="1:7" x14ac:dyDescent="0.25">
      <c r="A248" s="2">
        <v>247</v>
      </c>
      <c r="B248" s="1">
        <v>3.76</v>
      </c>
      <c r="C248" s="1">
        <v>4.0199999999999996</v>
      </c>
      <c r="D248" s="1">
        <v>4.1399999999999997</v>
      </c>
      <c r="E248" s="1">
        <v>3.56</v>
      </c>
      <c r="F248" s="1" t="s">
        <v>54</v>
      </c>
      <c r="G248" s="3">
        <v>-0.06</v>
      </c>
    </row>
    <row r="249" spans="1:7" x14ac:dyDescent="0.25">
      <c r="A249" s="2">
        <v>248</v>
      </c>
      <c r="B249" s="1">
        <v>4.07</v>
      </c>
      <c r="C249" s="1">
        <v>3.8</v>
      </c>
      <c r="D249" s="1">
        <v>4.33</v>
      </c>
      <c r="E249" s="1">
        <v>3.75</v>
      </c>
      <c r="F249" s="1" t="s">
        <v>53</v>
      </c>
      <c r="G249" s="3">
        <v>8.2400000000000001E-2</v>
      </c>
    </row>
    <row r="250" spans="1:7" x14ac:dyDescent="0.25">
      <c r="A250" s="2">
        <v>249</v>
      </c>
      <c r="B250" s="1">
        <v>3.62</v>
      </c>
      <c r="C250" s="1">
        <v>4.0199999999999996</v>
      </c>
      <c r="D250" s="1">
        <v>4.0599999999999996</v>
      </c>
      <c r="E250" s="1">
        <v>3.58</v>
      </c>
      <c r="F250" s="1" t="s">
        <v>52</v>
      </c>
      <c r="G250" s="3">
        <v>-0.1106</v>
      </c>
    </row>
    <row r="251" spans="1:7" x14ac:dyDescent="0.25">
      <c r="A251" s="2">
        <v>250</v>
      </c>
      <c r="B251" s="1">
        <v>4.0599999999999996</v>
      </c>
      <c r="C251" s="1">
        <v>3.66</v>
      </c>
      <c r="D251" s="1">
        <v>4.1399999999999997</v>
      </c>
      <c r="E251" s="1">
        <v>3.59</v>
      </c>
      <c r="F251" s="1" t="s">
        <v>51</v>
      </c>
      <c r="G251" s="3">
        <v>0.1215</v>
      </c>
    </row>
    <row r="252" spans="1:7" x14ac:dyDescent="0.25">
      <c r="A252" s="2">
        <v>251</v>
      </c>
      <c r="B252" s="1">
        <v>4.18</v>
      </c>
      <c r="C252" s="1">
        <v>4.03</v>
      </c>
      <c r="D252" s="1">
        <v>4.6500000000000004</v>
      </c>
      <c r="E252" s="1">
        <v>3.93</v>
      </c>
      <c r="F252" s="1" t="s">
        <v>50</v>
      </c>
      <c r="G252" s="3">
        <v>2.9600000000000001E-2</v>
      </c>
    </row>
    <row r="253" spans="1:7" x14ac:dyDescent="0.25">
      <c r="A253" s="2">
        <v>252</v>
      </c>
      <c r="B253" s="1">
        <v>4.16</v>
      </c>
      <c r="C253" s="1">
        <v>4.24</v>
      </c>
      <c r="D253" s="1">
        <v>4.42</v>
      </c>
      <c r="E253" s="1">
        <v>4.1399999999999997</v>
      </c>
      <c r="F253" s="1" t="s">
        <v>49</v>
      </c>
      <c r="G253" s="3">
        <v>-4.7999999999999996E-3</v>
      </c>
    </row>
    <row r="254" spans="1:7" x14ac:dyDescent="0.25">
      <c r="A254" s="2">
        <v>253</v>
      </c>
      <c r="B254" s="1">
        <v>3.57</v>
      </c>
      <c r="C254" s="1">
        <v>4.17</v>
      </c>
      <c r="D254" s="1">
        <v>4.3499999999999996</v>
      </c>
      <c r="E254" s="1">
        <v>2.94</v>
      </c>
      <c r="F254" s="1" t="s">
        <v>48</v>
      </c>
      <c r="G254" s="3">
        <v>-0.14180000000000001</v>
      </c>
    </row>
    <row r="255" spans="1:7" x14ac:dyDescent="0.25">
      <c r="A255" s="2">
        <v>254</v>
      </c>
      <c r="B255" s="1">
        <v>3.59</v>
      </c>
      <c r="C255" s="1">
        <v>3.58</v>
      </c>
      <c r="D255" s="1">
        <v>3.99</v>
      </c>
      <c r="E255" s="1">
        <v>3.06</v>
      </c>
      <c r="F255" s="1" t="s">
        <v>47</v>
      </c>
      <c r="G255" s="3">
        <v>5.5999999999999999E-3</v>
      </c>
    </row>
    <row r="256" spans="1:7" x14ac:dyDescent="0.25">
      <c r="A256" s="2">
        <v>255</v>
      </c>
      <c r="B256" s="1">
        <v>2.95</v>
      </c>
      <c r="C256" s="1">
        <v>3.55</v>
      </c>
      <c r="D256" s="1">
        <v>3.55</v>
      </c>
      <c r="E256" s="1">
        <v>2.85</v>
      </c>
      <c r="F256" s="1" t="s">
        <v>46</v>
      </c>
      <c r="G256" s="3">
        <v>-0.17829999999999999</v>
      </c>
    </row>
    <row r="257" spans="1:7" x14ac:dyDescent="0.25">
      <c r="A257" s="2">
        <v>256</v>
      </c>
      <c r="B257" s="1">
        <v>2.33</v>
      </c>
      <c r="C257" s="1">
        <v>2.92</v>
      </c>
      <c r="D257" s="1">
        <v>3.07</v>
      </c>
      <c r="E257" s="1">
        <v>2.17</v>
      </c>
      <c r="F257" s="1" t="s">
        <v>45</v>
      </c>
      <c r="G257" s="3">
        <v>-0.2102</v>
      </c>
    </row>
    <row r="258" spans="1:7" x14ac:dyDescent="0.25">
      <c r="A258" s="2">
        <v>257</v>
      </c>
      <c r="B258" s="1">
        <v>2.5099999999999998</v>
      </c>
      <c r="C258" s="1">
        <v>2.36</v>
      </c>
      <c r="D258" s="1">
        <v>2.77</v>
      </c>
      <c r="E258" s="1">
        <v>2.34</v>
      </c>
      <c r="F258" s="1" t="s">
        <v>44</v>
      </c>
      <c r="G258" s="3">
        <v>7.7299999999999994E-2</v>
      </c>
    </row>
    <row r="259" spans="1:7" x14ac:dyDescent="0.25">
      <c r="A259" s="2">
        <v>258</v>
      </c>
      <c r="B259" s="1">
        <v>2.71</v>
      </c>
      <c r="C259" s="1">
        <v>2.54</v>
      </c>
      <c r="D259" s="1">
        <v>3.01</v>
      </c>
      <c r="E259" s="1">
        <v>2.48</v>
      </c>
      <c r="F259" s="1" t="s">
        <v>43</v>
      </c>
      <c r="G259" s="3">
        <v>7.9699999999999993E-2</v>
      </c>
    </row>
    <row r="260" spans="1:7" x14ac:dyDescent="0.25">
      <c r="A260" s="2">
        <v>259</v>
      </c>
      <c r="B260" s="1">
        <v>2.73</v>
      </c>
      <c r="C260" s="1">
        <v>2.78</v>
      </c>
      <c r="D260" s="1">
        <v>3.09</v>
      </c>
      <c r="E260" s="1">
        <v>2.66</v>
      </c>
      <c r="F260" s="1" t="s">
        <v>42</v>
      </c>
      <c r="G260" s="3">
        <v>7.4000000000000003E-3</v>
      </c>
    </row>
    <row r="261" spans="1:7" x14ac:dyDescent="0.25">
      <c r="A261" s="2">
        <v>260</v>
      </c>
      <c r="B261" s="1">
        <v>2.54</v>
      </c>
      <c r="C261" s="1">
        <v>2.77</v>
      </c>
      <c r="D261" s="1">
        <v>2.88</v>
      </c>
      <c r="E261" s="1">
        <v>2.37</v>
      </c>
      <c r="F261" s="1" t="s">
        <v>41</v>
      </c>
      <c r="G261" s="3">
        <v>-6.9599999999999995E-2</v>
      </c>
    </row>
    <row r="262" spans="1:7" x14ac:dyDescent="0.25">
      <c r="A262" s="2">
        <v>261</v>
      </c>
      <c r="B262" s="1">
        <v>2.6</v>
      </c>
      <c r="C262" s="1">
        <v>2.56</v>
      </c>
      <c r="D262" s="1">
        <v>2.88</v>
      </c>
      <c r="E262" s="1">
        <v>2.4900000000000002</v>
      </c>
      <c r="F262" s="1" t="s">
        <v>40</v>
      </c>
      <c r="G262" s="3">
        <v>2.3599999999999999E-2</v>
      </c>
    </row>
    <row r="263" spans="1:7" x14ac:dyDescent="0.25">
      <c r="A263" s="2">
        <v>262</v>
      </c>
      <c r="B263" s="1">
        <v>2.79</v>
      </c>
      <c r="C263" s="1">
        <v>2.64</v>
      </c>
      <c r="D263" s="1">
        <v>2.87</v>
      </c>
      <c r="E263" s="1">
        <v>2.56</v>
      </c>
      <c r="F263" s="1" t="s">
        <v>39</v>
      </c>
      <c r="G263" s="3">
        <v>7.3099999999999998E-2</v>
      </c>
    </row>
    <row r="264" spans="1:7" x14ac:dyDescent="0.25">
      <c r="A264" s="2">
        <v>263</v>
      </c>
      <c r="B264" s="1">
        <v>3.82</v>
      </c>
      <c r="C264" s="1">
        <v>2.81</v>
      </c>
      <c r="D264" s="1">
        <v>4.0199999999999996</v>
      </c>
      <c r="E264" s="1">
        <v>2.79</v>
      </c>
      <c r="F264" s="1" t="s">
        <v>38</v>
      </c>
      <c r="G264" s="3">
        <v>0.36919999999999997</v>
      </c>
    </row>
    <row r="265" spans="1:7" x14ac:dyDescent="0.25">
      <c r="A265" s="2">
        <v>264</v>
      </c>
      <c r="B265" s="1">
        <v>3.45</v>
      </c>
      <c r="C265" s="1">
        <v>3.9</v>
      </c>
      <c r="D265" s="1">
        <v>3.95</v>
      </c>
      <c r="E265" s="1">
        <v>3.39</v>
      </c>
      <c r="F265" s="1" t="s">
        <v>37</v>
      </c>
      <c r="G265" s="3">
        <v>-9.69E-2</v>
      </c>
    </row>
    <row r="266" spans="1:7" x14ac:dyDescent="0.25">
      <c r="A266" s="2">
        <v>265</v>
      </c>
      <c r="B266" s="1">
        <v>4.0199999999999996</v>
      </c>
      <c r="C266" s="1">
        <v>3.44</v>
      </c>
      <c r="D266" s="1">
        <v>4.2300000000000004</v>
      </c>
      <c r="E266" s="1">
        <v>3.37</v>
      </c>
      <c r="F266" s="1" t="s">
        <v>36</v>
      </c>
      <c r="G266" s="3">
        <v>0.16520000000000001</v>
      </c>
    </row>
    <row r="267" spans="1:7" x14ac:dyDescent="0.25">
      <c r="A267" s="2">
        <v>266</v>
      </c>
      <c r="B267" s="1">
        <v>4.49</v>
      </c>
      <c r="C267" s="1">
        <v>4.0199999999999996</v>
      </c>
      <c r="D267" s="1">
        <v>5.56</v>
      </c>
      <c r="E267" s="1">
        <v>3.9</v>
      </c>
      <c r="F267" s="1" t="s">
        <v>35</v>
      </c>
      <c r="G267" s="3">
        <v>0.1169</v>
      </c>
    </row>
    <row r="268" spans="1:7" x14ac:dyDescent="0.25">
      <c r="A268" s="2">
        <v>267</v>
      </c>
      <c r="B268" s="1">
        <v>5.15</v>
      </c>
      <c r="C268" s="1">
        <v>4.5</v>
      </c>
      <c r="D268" s="1">
        <v>5.2</v>
      </c>
      <c r="E268" s="1">
        <v>4.0999999999999996</v>
      </c>
      <c r="F268" s="1" t="s">
        <v>34</v>
      </c>
      <c r="G268" s="3">
        <v>0.14699999999999999</v>
      </c>
    </row>
    <row r="269" spans="1:7" x14ac:dyDescent="0.25">
      <c r="A269" s="2">
        <v>268</v>
      </c>
      <c r="B269" s="1">
        <v>5.0599999999999996</v>
      </c>
      <c r="C269" s="1">
        <v>5.25</v>
      </c>
      <c r="D269" s="1">
        <v>5.8</v>
      </c>
      <c r="E269" s="1">
        <v>4.92</v>
      </c>
      <c r="F269" s="1" t="s">
        <v>33</v>
      </c>
      <c r="G269" s="3">
        <v>-1.7500000000000002E-2</v>
      </c>
    </row>
    <row r="270" spans="1:7" x14ac:dyDescent="0.25">
      <c r="A270" s="2">
        <v>269</v>
      </c>
      <c r="B270" s="1">
        <v>4.6100000000000003</v>
      </c>
      <c r="C270" s="1">
        <v>5.07</v>
      </c>
      <c r="D270" s="1">
        <v>5.25</v>
      </c>
      <c r="E270" s="1">
        <v>4.4000000000000004</v>
      </c>
      <c r="F270" s="1" t="s">
        <v>32</v>
      </c>
      <c r="G270" s="3">
        <v>-8.8900000000000007E-2</v>
      </c>
    </row>
    <row r="271" spans="1:7" x14ac:dyDescent="0.25">
      <c r="A271" s="2">
        <v>270</v>
      </c>
      <c r="B271" s="1">
        <v>4.7300000000000004</v>
      </c>
      <c r="C271" s="1">
        <v>4.6900000000000004</v>
      </c>
      <c r="D271" s="1">
        <v>4.8499999999999996</v>
      </c>
      <c r="E271" s="1">
        <v>4.25</v>
      </c>
      <c r="F271" s="1" t="s">
        <v>31</v>
      </c>
      <c r="G271" s="3">
        <v>2.5999999999999999E-2</v>
      </c>
    </row>
    <row r="272" spans="1:7" x14ac:dyDescent="0.25">
      <c r="A272" s="2">
        <v>271</v>
      </c>
      <c r="B272" s="1">
        <v>4.51</v>
      </c>
      <c r="C272" s="1">
        <v>4.87</v>
      </c>
      <c r="D272" s="1">
        <v>4.9000000000000004</v>
      </c>
      <c r="E272" s="1">
        <v>4.32</v>
      </c>
      <c r="F272" s="1" t="s">
        <v>30</v>
      </c>
      <c r="G272" s="3">
        <v>-4.65E-2</v>
      </c>
    </row>
    <row r="273" spans="1:7" x14ac:dyDescent="0.25">
      <c r="A273" s="2">
        <v>272</v>
      </c>
      <c r="B273" s="1">
        <v>4.3</v>
      </c>
      <c r="C273" s="1">
        <v>4.5</v>
      </c>
      <c r="D273" s="1">
        <v>4.6100000000000003</v>
      </c>
      <c r="E273" s="1">
        <v>4.18</v>
      </c>
      <c r="F273" s="1" t="s">
        <v>29</v>
      </c>
      <c r="G273" s="3">
        <v>-4.6600000000000003E-2</v>
      </c>
    </row>
    <row r="274" spans="1:7" x14ac:dyDescent="0.25">
      <c r="A274" s="2">
        <v>273</v>
      </c>
      <c r="B274" s="1">
        <v>4.37</v>
      </c>
      <c r="C274" s="1">
        <v>4.3499999999999996</v>
      </c>
      <c r="D274" s="1">
        <v>4.55</v>
      </c>
      <c r="E274" s="1">
        <v>4.21</v>
      </c>
      <c r="F274" s="1" t="s">
        <v>28</v>
      </c>
      <c r="G274" s="3">
        <v>1.6299999999999999E-2</v>
      </c>
    </row>
    <row r="275" spans="1:7" x14ac:dyDescent="0.25">
      <c r="A275" s="2">
        <v>274</v>
      </c>
      <c r="B275" s="1">
        <v>4.28</v>
      </c>
      <c r="C275" s="1">
        <v>4.37</v>
      </c>
      <c r="D275" s="1">
        <v>4.71</v>
      </c>
      <c r="E275" s="1">
        <v>4.2</v>
      </c>
      <c r="F275" s="1" t="s">
        <v>27</v>
      </c>
      <c r="G275" s="3">
        <v>-2.06E-2</v>
      </c>
    </row>
    <row r="276" spans="1:7" x14ac:dyDescent="0.25">
      <c r="A276" s="2">
        <v>275</v>
      </c>
      <c r="B276" s="1">
        <v>4.29</v>
      </c>
      <c r="C276" s="1">
        <v>4.28</v>
      </c>
      <c r="D276" s="1">
        <v>4.4000000000000004</v>
      </c>
      <c r="E276" s="1">
        <v>4.2</v>
      </c>
      <c r="F276" s="1" t="s">
        <v>26</v>
      </c>
      <c r="G276" s="3">
        <v>2.3E-3</v>
      </c>
    </row>
    <row r="277" spans="1:7" x14ac:dyDescent="0.25">
      <c r="A277" s="2">
        <v>276</v>
      </c>
      <c r="B277" s="1">
        <v>4.09</v>
      </c>
      <c r="C277" s="1">
        <v>4.32</v>
      </c>
      <c r="D277" s="1">
        <v>4.49</v>
      </c>
      <c r="E277" s="1">
        <v>3.9</v>
      </c>
      <c r="F277" s="1" t="s">
        <v>25</v>
      </c>
      <c r="G277" s="3">
        <v>-4.6600000000000003E-2</v>
      </c>
    </row>
    <row r="278" spans="1:7" x14ac:dyDescent="0.25">
      <c r="A278" s="2">
        <v>277</v>
      </c>
      <c r="B278" s="1">
        <v>4</v>
      </c>
      <c r="C278" s="1">
        <v>4.13</v>
      </c>
      <c r="D278" s="1">
        <v>4.3</v>
      </c>
      <c r="E278" s="1">
        <v>3.87</v>
      </c>
      <c r="F278" s="1" t="s">
        <v>24</v>
      </c>
      <c r="G278" s="3">
        <v>-2.1999999999999999E-2</v>
      </c>
    </row>
    <row r="279" spans="1:7" x14ac:dyDescent="0.25">
      <c r="A279" s="2">
        <v>278</v>
      </c>
      <c r="B279" s="1">
        <v>4.0599999999999996</v>
      </c>
      <c r="C279" s="1">
        <v>4.0599999999999996</v>
      </c>
      <c r="D279" s="1">
        <v>4.3</v>
      </c>
      <c r="E279" s="1">
        <v>3.87</v>
      </c>
      <c r="F279" s="1" t="s">
        <v>23</v>
      </c>
      <c r="G279" s="3">
        <v>1.4999999999999999E-2</v>
      </c>
    </row>
    <row r="280" spans="1:7" x14ac:dyDescent="0.25">
      <c r="A280" s="2">
        <v>279</v>
      </c>
      <c r="B280" s="1">
        <v>4</v>
      </c>
      <c r="C280" s="1">
        <v>4.13</v>
      </c>
      <c r="D280" s="1">
        <v>4.4800000000000004</v>
      </c>
      <c r="E280" s="1">
        <v>3.94</v>
      </c>
      <c r="F280" s="1" t="s">
        <v>22</v>
      </c>
      <c r="G280" s="3">
        <v>-1.4800000000000001E-2</v>
      </c>
    </row>
    <row r="281" spans="1:7" x14ac:dyDescent="0.25">
      <c r="A281" s="2">
        <v>280</v>
      </c>
      <c r="B281" s="1">
        <v>3.98</v>
      </c>
      <c r="C281" s="1">
        <v>3.96</v>
      </c>
      <c r="D281" s="1">
        <v>4.04</v>
      </c>
      <c r="E281" s="1">
        <v>3.75</v>
      </c>
      <c r="F281" s="1" t="s">
        <v>21</v>
      </c>
      <c r="G281" s="3">
        <v>-5.0000000000000001E-3</v>
      </c>
    </row>
    <row r="282" spans="1:7" x14ac:dyDescent="0.25">
      <c r="A282" s="2">
        <v>281</v>
      </c>
      <c r="B282" s="1">
        <v>3.47</v>
      </c>
      <c r="C282" s="1">
        <v>3.98</v>
      </c>
      <c r="D282" s="1">
        <v>3.98</v>
      </c>
      <c r="E282" s="1">
        <v>3.37</v>
      </c>
      <c r="F282" s="1" t="s">
        <v>20</v>
      </c>
      <c r="G282" s="3">
        <v>-0.12809999999999999</v>
      </c>
    </row>
    <row r="283" spans="1:7" x14ac:dyDescent="0.25">
      <c r="A283" s="2">
        <v>282</v>
      </c>
      <c r="B283" s="1">
        <v>3.3</v>
      </c>
      <c r="C283" s="1">
        <v>3.51</v>
      </c>
      <c r="D283" s="1">
        <v>3.75</v>
      </c>
      <c r="E283" s="1">
        <v>3.2</v>
      </c>
      <c r="F283" s="1" t="s">
        <v>19</v>
      </c>
      <c r="G283" s="3">
        <v>-4.9000000000000002E-2</v>
      </c>
    </row>
    <row r="284" spans="1:7" x14ac:dyDescent="0.25">
      <c r="A284" s="2">
        <v>283</v>
      </c>
      <c r="B284" s="1">
        <v>3.28</v>
      </c>
      <c r="C284" s="1">
        <v>3.29</v>
      </c>
      <c r="D284" s="1">
        <v>3.59</v>
      </c>
      <c r="E284" s="1">
        <v>3.22</v>
      </c>
      <c r="F284" s="1" t="s">
        <v>18</v>
      </c>
      <c r="G284" s="3">
        <v>-6.1000000000000004E-3</v>
      </c>
    </row>
    <row r="285" spans="1:7" x14ac:dyDescent="0.25">
      <c r="A285" s="2">
        <v>284</v>
      </c>
      <c r="B285" s="1">
        <v>3.19</v>
      </c>
      <c r="C285" s="1">
        <v>3.27</v>
      </c>
      <c r="D285" s="1">
        <v>3.5</v>
      </c>
      <c r="E285" s="1">
        <v>3.13</v>
      </c>
      <c r="F285" s="1" t="s">
        <v>17</v>
      </c>
      <c r="G285" s="3">
        <v>-2.7400000000000001E-2</v>
      </c>
    </row>
    <row r="286" spans="1:7" x14ac:dyDescent="0.25">
      <c r="A286" s="2">
        <v>285</v>
      </c>
      <c r="B286" s="1">
        <v>3.15</v>
      </c>
      <c r="C286" s="1">
        <v>3.19</v>
      </c>
      <c r="D286" s="1">
        <v>3.48</v>
      </c>
      <c r="E286" s="1">
        <v>2.95</v>
      </c>
      <c r="F286" s="1" t="s">
        <v>16</v>
      </c>
      <c r="G286" s="3">
        <v>-1.2500000000000001E-2</v>
      </c>
    </row>
    <row r="287" spans="1:7" x14ac:dyDescent="0.25">
      <c r="A287" s="2">
        <v>286</v>
      </c>
      <c r="B287" s="1">
        <v>3.15</v>
      </c>
      <c r="C287" s="1">
        <v>3.16</v>
      </c>
      <c r="D287" s="1">
        <v>3.32</v>
      </c>
      <c r="E287" s="1">
        <v>3.06</v>
      </c>
      <c r="F287" s="1" t="s">
        <v>15</v>
      </c>
      <c r="G287" s="3">
        <v>0</v>
      </c>
    </row>
    <row r="288" spans="1:7" x14ac:dyDescent="0.25">
      <c r="A288" s="2">
        <v>287</v>
      </c>
      <c r="B288" s="1">
        <v>3.2</v>
      </c>
      <c r="C288" s="1">
        <v>3.15</v>
      </c>
      <c r="D288" s="1">
        <v>3.52</v>
      </c>
      <c r="E288" s="1">
        <v>3.1</v>
      </c>
      <c r="F288" s="1" t="s">
        <v>14</v>
      </c>
      <c r="G288" s="3">
        <v>1.5900000000000001E-2</v>
      </c>
    </row>
    <row r="289" spans="1:7" x14ac:dyDescent="0.25">
      <c r="A289" s="2">
        <v>288</v>
      </c>
      <c r="B289" s="1">
        <v>4.17</v>
      </c>
      <c r="C289" s="1">
        <v>3.2</v>
      </c>
      <c r="D289" s="1">
        <v>4.21</v>
      </c>
      <c r="E289" s="1">
        <v>3.2</v>
      </c>
      <c r="F289" s="1" t="s">
        <v>13</v>
      </c>
      <c r="G289" s="3">
        <v>0.30309999999999998</v>
      </c>
    </row>
    <row r="290" spans="1:7" x14ac:dyDescent="0.25">
      <c r="A290" s="2">
        <v>289</v>
      </c>
      <c r="B290" s="1">
        <v>3.93</v>
      </c>
      <c r="C290" s="1">
        <v>4.18</v>
      </c>
      <c r="D290" s="1">
        <v>4.24</v>
      </c>
      <c r="E290" s="1">
        <v>3.73</v>
      </c>
      <c r="F290" s="1" t="s">
        <v>12</v>
      </c>
      <c r="G290" s="3">
        <v>-5.7599999999999998E-2</v>
      </c>
    </row>
    <row r="291" spans="1:7" x14ac:dyDescent="0.25">
      <c r="A291" s="2">
        <v>290</v>
      </c>
      <c r="B291" s="1">
        <v>3.82</v>
      </c>
      <c r="C291" s="1">
        <v>3.93</v>
      </c>
      <c r="D291" s="1">
        <v>4.03</v>
      </c>
      <c r="E291" s="1">
        <v>3.66</v>
      </c>
      <c r="F291" s="1" t="s">
        <v>11</v>
      </c>
      <c r="G291" s="3">
        <v>-2.8000000000000001E-2</v>
      </c>
    </row>
    <row r="292" spans="1:7" x14ac:dyDescent="0.25">
      <c r="A292" s="2">
        <v>291</v>
      </c>
      <c r="B292" s="1">
        <v>3.86</v>
      </c>
      <c r="C292" s="1">
        <v>3.82</v>
      </c>
      <c r="D292" s="1">
        <v>3.95</v>
      </c>
      <c r="E292" s="1">
        <v>3.64</v>
      </c>
      <c r="F292" s="1" t="s">
        <v>10</v>
      </c>
      <c r="G292" s="3">
        <v>1.0500000000000001E-2</v>
      </c>
    </row>
    <row r="293" spans="1:7" x14ac:dyDescent="0.25">
      <c r="A293" s="2">
        <v>292</v>
      </c>
      <c r="B293" s="1">
        <v>3.75</v>
      </c>
      <c r="C293" s="1">
        <v>3.85</v>
      </c>
      <c r="D293" s="1">
        <v>3.96</v>
      </c>
      <c r="E293" s="1">
        <v>3.71</v>
      </c>
      <c r="F293" s="1" t="s">
        <v>9</v>
      </c>
      <c r="G293" s="3">
        <v>-2.8500000000000001E-2</v>
      </c>
    </row>
    <row r="294" spans="1:7" x14ac:dyDescent="0.25">
      <c r="A294" s="2">
        <v>293</v>
      </c>
      <c r="B294" s="1">
        <v>3.9</v>
      </c>
      <c r="C294" s="1">
        <v>3.74</v>
      </c>
      <c r="D294" s="1">
        <v>4</v>
      </c>
      <c r="E294" s="1">
        <v>3.74</v>
      </c>
      <c r="F294" s="1" t="s">
        <v>8</v>
      </c>
      <c r="G294" s="3">
        <v>0.04</v>
      </c>
    </row>
    <row r="295" spans="1:7" x14ac:dyDescent="0.25">
      <c r="A295" s="2">
        <v>294</v>
      </c>
      <c r="B295" s="1">
        <v>4.09</v>
      </c>
      <c r="C295" s="1">
        <v>3.9</v>
      </c>
      <c r="D295" s="1">
        <v>4.1500000000000004</v>
      </c>
      <c r="E295" s="1">
        <v>3.81</v>
      </c>
      <c r="F295" s="1" t="s">
        <v>7</v>
      </c>
      <c r="G295" s="3">
        <v>4.87E-2</v>
      </c>
    </row>
    <row r="296" spans="1:7" x14ac:dyDescent="0.25">
      <c r="A296" s="2">
        <v>295</v>
      </c>
      <c r="B296" s="7">
        <v>4.08</v>
      </c>
      <c r="C296" s="7">
        <v>4.0999999999999996</v>
      </c>
      <c r="D296" s="7">
        <v>4.3</v>
      </c>
      <c r="E296" s="7">
        <v>3.96</v>
      </c>
      <c r="F296" s="7" t="s">
        <v>6</v>
      </c>
      <c r="G296" s="8">
        <v>-2.3999999999999998E-3</v>
      </c>
    </row>
  </sheetData>
  <mergeCells count="1">
    <mergeCell ref="L1:M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 históricos ARA_50&gt;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jafet cendon aguilar</dc:creator>
  <cp:lastModifiedBy>eduardo jafet cendon aguilar</cp:lastModifiedBy>
  <dcterms:created xsi:type="dcterms:W3CDTF">2023-08-14T02:13:01Z</dcterms:created>
  <dcterms:modified xsi:type="dcterms:W3CDTF">2023-08-14T02:13:01Z</dcterms:modified>
</cp:coreProperties>
</file>